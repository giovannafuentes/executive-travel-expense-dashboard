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giofu\Documents\GIOVANNITA\CV`S GIO\"/>
    </mc:Choice>
  </mc:AlternateContent>
  <xr:revisionPtr revIDLastSave="0" documentId="13_ncr:1_{FB548430-F7C7-45A5-8082-1B9F486CFC7B}" xr6:coauthVersionLast="47" xr6:coauthVersionMax="47" xr10:uidLastSave="{00000000-0000-0000-0000-000000000000}"/>
  <bookViews>
    <workbookView xWindow="21405" yWindow="705" windowWidth="29205" windowHeight="19470" tabRatio="815" xr2:uid="{00000000-000D-0000-FFFF-FFFF00000000}"/>
  </bookViews>
  <sheets>
    <sheet name="Project Overview" sheetId="7" r:id="rId1"/>
    <sheet name="Travel_Expense_Data" sheetId="2" r:id="rId2"/>
    <sheet name="Pivot_Analysis" sheetId="5" r:id="rId3"/>
    <sheet name="Dashboard" sheetId="6" r:id="rId4"/>
    <sheet name="ok" sheetId="4" r:id="rId5"/>
    <sheet name="Data_Dictionary" sheetId="3" r:id="rId6"/>
  </sheets>
  <definedNames>
    <definedName name="NovaTechSpends">Travel_Expense_Data!$1:$1048576</definedName>
    <definedName name="SegmentaciónDeDatos_Department">#N/A</definedName>
    <definedName name="SegmentaciónDeDatos_Role_Level">#N/A</definedName>
    <definedName name="SegmentaciónDeDatos_Travel_Month">#N/A</definedName>
    <definedName name="SegmentaciónDeDatos_Trip_Type">#N/A</definedName>
  </definedNames>
  <calcPr calcId="191029"/>
  <pivotCaches>
    <pivotCache cacheId="821"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A1" i="6" l="1"/>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2" i="2"/>
  <c r="Y2" i="2"/>
  <c r="AA2" i="2" s="1"/>
  <c r="AB2" i="2" s="1"/>
  <c r="Y3" i="2"/>
  <c r="AA3" i="2" s="1"/>
  <c r="AB3" i="2" s="1"/>
  <c r="Y4" i="2"/>
  <c r="AA4" i="2" s="1"/>
  <c r="AB4" i="2" s="1"/>
  <c r="Y5" i="2"/>
  <c r="AA5" i="2" s="1"/>
  <c r="AB5" i="2" s="1"/>
  <c r="Y6" i="2"/>
  <c r="AA6" i="2" s="1"/>
  <c r="AB6" i="2" s="1"/>
  <c r="Y7" i="2"/>
  <c r="AA7" i="2" s="1"/>
  <c r="AB7" i="2" s="1"/>
  <c r="Y8" i="2"/>
  <c r="AA8" i="2" s="1"/>
  <c r="AB8" i="2" s="1"/>
  <c r="Y9" i="2"/>
  <c r="AA9" i="2" s="1"/>
  <c r="AB9" i="2" s="1"/>
  <c r="Y10" i="2"/>
  <c r="AA10" i="2" s="1"/>
  <c r="AB10" i="2" s="1"/>
  <c r="Y11" i="2"/>
  <c r="AA11" i="2" s="1"/>
  <c r="AB11" i="2" s="1"/>
  <c r="Y12" i="2"/>
  <c r="AA12" i="2" s="1"/>
  <c r="AB12" i="2" s="1"/>
  <c r="Y13" i="2"/>
  <c r="AA13" i="2" s="1"/>
  <c r="AB13" i="2" s="1"/>
  <c r="Y14" i="2"/>
  <c r="AA14" i="2" s="1"/>
  <c r="AB14" i="2" s="1"/>
  <c r="Y15" i="2"/>
  <c r="AA15" i="2" s="1"/>
  <c r="AB15" i="2" s="1"/>
  <c r="Y16" i="2"/>
  <c r="AA16" i="2" s="1"/>
  <c r="AB16" i="2" s="1"/>
  <c r="Y17" i="2"/>
  <c r="AA17" i="2" s="1"/>
  <c r="AB17" i="2" s="1"/>
  <c r="Y18" i="2"/>
  <c r="AA18" i="2" s="1"/>
  <c r="AB18" i="2" s="1"/>
  <c r="Y19" i="2"/>
  <c r="AA19" i="2" s="1"/>
  <c r="AB19" i="2" s="1"/>
  <c r="Y20" i="2"/>
  <c r="AA20" i="2" s="1"/>
  <c r="AB20" i="2" s="1"/>
  <c r="Y21" i="2"/>
  <c r="AA21" i="2" s="1"/>
  <c r="AB21" i="2" s="1"/>
  <c r="Y22" i="2"/>
  <c r="AA22" i="2" s="1"/>
  <c r="AB22" i="2" s="1"/>
  <c r="Y23" i="2"/>
  <c r="AA23" i="2" s="1"/>
  <c r="AB23" i="2" s="1"/>
  <c r="Y24" i="2"/>
  <c r="AA24" i="2" s="1"/>
  <c r="AB24" i="2" s="1"/>
  <c r="Y25" i="2"/>
  <c r="AA25" i="2" s="1"/>
  <c r="AB25" i="2" s="1"/>
  <c r="Y26" i="2"/>
  <c r="AA26" i="2" s="1"/>
  <c r="AB26" i="2" s="1"/>
  <c r="Y27" i="2"/>
  <c r="AA27" i="2" s="1"/>
  <c r="AB27" i="2" s="1"/>
  <c r="Y28" i="2"/>
  <c r="AA28" i="2" s="1"/>
  <c r="AB28" i="2" s="1"/>
  <c r="Y29" i="2"/>
  <c r="AA29" i="2" s="1"/>
  <c r="AB29" i="2" s="1"/>
  <c r="Y30" i="2"/>
  <c r="AA30" i="2" s="1"/>
  <c r="AB30" i="2" s="1"/>
  <c r="Y31" i="2"/>
  <c r="AA31" i="2" s="1"/>
  <c r="AB31" i="2" s="1"/>
  <c r="Y32" i="2"/>
  <c r="AA32" i="2" s="1"/>
  <c r="AB32" i="2" s="1"/>
  <c r="Y33" i="2"/>
  <c r="AA33" i="2" s="1"/>
  <c r="AB33" i="2" s="1"/>
  <c r="Y34" i="2"/>
  <c r="AA34" i="2" s="1"/>
  <c r="AB34" i="2" s="1"/>
  <c r="Y35" i="2"/>
  <c r="AA35" i="2" s="1"/>
  <c r="AB35" i="2" s="1"/>
  <c r="Y36" i="2"/>
  <c r="AA36" i="2" s="1"/>
  <c r="AB36" i="2" s="1"/>
  <c r="Y37" i="2"/>
  <c r="AA37" i="2" s="1"/>
  <c r="AB37" i="2" s="1"/>
  <c r="Y38" i="2"/>
  <c r="AA38" i="2" s="1"/>
  <c r="AB38" i="2" s="1"/>
  <c r="Y39" i="2"/>
  <c r="AA39" i="2" s="1"/>
  <c r="AB39" i="2" s="1"/>
  <c r="Y40" i="2"/>
  <c r="AA40" i="2" s="1"/>
  <c r="AB40" i="2" s="1"/>
  <c r="Y41" i="2"/>
  <c r="AA41" i="2" s="1"/>
  <c r="AB41" i="2" s="1"/>
  <c r="Y42" i="2"/>
  <c r="AA42" i="2" s="1"/>
  <c r="AB42" i="2" s="1"/>
  <c r="Y43" i="2"/>
  <c r="AA43" i="2" s="1"/>
  <c r="AB43" i="2" s="1"/>
  <c r="Y44" i="2"/>
  <c r="AA44" i="2" s="1"/>
  <c r="AB44" i="2" s="1"/>
  <c r="Y45" i="2"/>
  <c r="AA45" i="2" s="1"/>
  <c r="AB45" i="2" s="1"/>
  <c r="Y46" i="2"/>
  <c r="AA46" i="2" s="1"/>
  <c r="AB46" i="2" s="1"/>
  <c r="Y47" i="2"/>
  <c r="AA47" i="2" s="1"/>
  <c r="AB47" i="2" s="1"/>
  <c r="Y48" i="2"/>
  <c r="AA48" i="2" s="1"/>
  <c r="AB48" i="2" s="1"/>
  <c r="Y49" i="2"/>
  <c r="AA49" i="2" s="1"/>
  <c r="AB49" i="2" s="1"/>
  <c r="Y50" i="2"/>
  <c r="AA50" i="2" s="1"/>
  <c r="AB50" i="2" s="1"/>
  <c r="Y51" i="2"/>
  <c r="AA51" i="2" s="1"/>
  <c r="AB51" i="2" s="1"/>
  <c r="Y52" i="2"/>
  <c r="AA52" i="2" s="1"/>
  <c r="AB52" i="2" s="1"/>
  <c r="Y53" i="2"/>
  <c r="AA53" i="2" s="1"/>
  <c r="AB53" i="2" s="1"/>
  <c r="Y54" i="2"/>
  <c r="AA54" i="2" s="1"/>
  <c r="AB54" i="2" s="1"/>
  <c r="Y55" i="2"/>
  <c r="AA55" i="2" s="1"/>
  <c r="AB55" i="2" s="1"/>
  <c r="Y56" i="2"/>
  <c r="AA56" i="2" s="1"/>
  <c r="AB56" i="2" s="1"/>
  <c r="Y57" i="2"/>
  <c r="AA57" i="2" s="1"/>
  <c r="AB57" i="2" s="1"/>
  <c r="Y58" i="2"/>
  <c r="AA58" i="2" s="1"/>
  <c r="AB58" i="2" s="1"/>
  <c r="Y59" i="2"/>
  <c r="AA59" i="2" s="1"/>
  <c r="AB59" i="2" s="1"/>
  <c r="Y60" i="2"/>
  <c r="AA60" i="2" s="1"/>
  <c r="AB60" i="2" s="1"/>
  <c r="Y61" i="2"/>
  <c r="AA61" i="2" s="1"/>
  <c r="AB61" i="2" s="1"/>
  <c r="Y62" i="2"/>
  <c r="AA62" i="2" s="1"/>
  <c r="AB62" i="2" s="1"/>
  <c r="Y63" i="2"/>
  <c r="AA63" i="2" s="1"/>
  <c r="AB63" i="2" s="1"/>
  <c r="Y64" i="2"/>
  <c r="AA64" i="2" s="1"/>
  <c r="AB64" i="2" s="1"/>
  <c r="Y65" i="2"/>
  <c r="AA65" i="2" s="1"/>
  <c r="AB65" i="2" s="1"/>
  <c r="Y66" i="2"/>
  <c r="AA66" i="2" s="1"/>
  <c r="AB66" i="2" s="1"/>
  <c r="Y67" i="2"/>
  <c r="AA67" i="2" s="1"/>
  <c r="AB67" i="2" s="1"/>
  <c r="Y68" i="2"/>
  <c r="AA68" i="2" s="1"/>
  <c r="AB68" i="2" s="1"/>
  <c r="Y69" i="2"/>
  <c r="AA69" i="2" s="1"/>
  <c r="AB69" i="2" s="1"/>
  <c r="Y70" i="2"/>
  <c r="AA70" i="2" s="1"/>
  <c r="AB70" i="2" s="1"/>
  <c r="Y71" i="2"/>
  <c r="AA71" i="2" s="1"/>
  <c r="AB71" i="2" s="1"/>
  <c r="Y72" i="2"/>
  <c r="AA72" i="2" s="1"/>
  <c r="AB72" i="2" s="1"/>
  <c r="Y73" i="2"/>
  <c r="AA73" i="2" s="1"/>
  <c r="AB73" i="2" s="1"/>
  <c r="Y74" i="2"/>
  <c r="AA74" i="2" s="1"/>
  <c r="AB74" i="2" s="1"/>
  <c r="Y75" i="2"/>
  <c r="AA75" i="2" s="1"/>
  <c r="AB75" i="2" s="1"/>
  <c r="Y76" i="2"/>
  <c r="AA76" i="2" s="1"/>
  <c r="AB76" i="2" s="1"/>
  <c r="Y77" i="2"/>
  <c r="AA77" i="2" s="1"/>
  <c r="AB77" i="2" s="1"/>
  <c r="Y78" i="2"/>
  <c r="AA78" i="2" s="1"/>
  <c r="AB78" i="2" s="1"/>
  <c r="Y79" i="2"/>
  <c r="AA79" i="2" s="1"/>
  <c r="AB79" i="2" s="1"/>
  <c r="Y80" i="2"/>
  <c r="AA80" i="2" s="1"/>
  <c r="AB80" i="2" s="1"/>
  <c r="Y81" i="2"/>
  <c r="AA81" i="2" s="1"/>
  <c r="AB81" i="2" s="1"/>
  <c r="Y82" i="2"/>
  <c r="AA82" i="2" s="1"/>
  <c r="AB82" i="2" s="1"/>
  <c r="Y83" i="2"/>
  <c r="AA83" i="2" s="1"/>
  <c r="AB83" i="2" s="1"/>
  <c r="Y84" i="2"/>
  <c r="AA84" i="2" s="1"/>
  <c r="AB84" i="2" s="1"/>
  <c r="Y85" i="2"/>
  <c r="AA85" i="2" s="1"/>
  <c r="AB85" i="2" s="1"/>
  <c r="Y86" i="2"/>
  <c r="AA86" i="2" s="1"/>
  <c r="AB86" i="2" s="1"/>
  <c r="Y87" i="2"/>
  <c r="AA87" i="2" s="1"/>
  <c r="AB87" i="2" s="1"/>
  <c r="Y88" i="2"/>
  <c r="AA88" i="2" s="1"/>
  <c r="AB88" i="2" s="1"/>
  <c r="Y89" i="2"/>
  <c r="AA89" i="2" s="1"/>
  <c r="AB89" i="2" s="1"/>
  <c r="Y90" i="2"/>
  <c r="AA90" i="2" s="1"/>
  <c r="AB90" i="2" s="1"/>
  <c r="Y91" i="2"/>
  <c r="AA91" i="2" s="1"/>
  <c r="AB91" i="2" s="1"/>
  <c r="Y92" i="2"/>
  <c r="AA92" i="2" s="1"/>
  <c r="AB92" i="2" s="1"/>
  <c r="Y93" i="2"/>
  <c r="AA93" i="2" s="1"/>
  <c r="AB93" i="2" s="1"/>
  <c r="Y94" i="2"/>
  <c r="AA94" i="2" s="1"/>
  <c r="AB94" i="2" s="1"/>
  <c r="Y95" i="2"/>
  <c r="AA95" i="2" s="1"/>
  <c r="AB95" i="2" s="1"/>
  <c r="Y96" i="2"/>
  <c r="AA96" i="2" s="1"/>
  <c r="AB96" i="2" s="1"/>
  <c r="Y97" i="2"/>
  <c r="AA97" i="2" s="1"/>
  <c r="AB97" i="2" s="1"/>
  <c r="Y98" i="2"/>
  <c r="AA98" i="2" s="1"/>
  <c r="AB98" i="2" s="1"/>
  <c r="Y99" i="2"/>
  <c r="AA99" i="2" s="1"/>
  <c r="AB99" i="2" s="1"/>
  <c r="Y100" i="2"/>
  <c r="AA100" i="2" s="1"/>
  <c r="AB100" i="2" s="1"/>
  <c r="Y101" i="2"/>
  <c r="AA101" i="2" s="1"/>
  <c r="AB101" i="2" s="1"/>
  <c r="Y102" i="2"/>
  <c r="AA102" i="2" s="1"/>
  <c r="AB102" i="2" s="1"/>
  <c r="Y103" i="2"/>
  <c r="AA103" i="2" s="1"/>
  <c r="AB103" i="2" s="1"/>
  <c r="Y104" i="2"/>
  <c r="AA104" i="2" s="1"/>
  <c r="AB104" i="2" s="1"/>
  <c r="Y105" i="2"/>
  <c r="AA105" i="2" s="1"/>
  <c r="AB105" i="2" s="1"/>
  <c r="Y106" i="2"/>
  <c r="AA106" i="2" s="1"/>
  <c r="AB106" i="2" s="1"/>
  <c r="Y107" i="2"/>
  <c r="AA107" i="2" s="1"/>
  <c r="AB107" i="2" s="1"/>
  <c r="Y108" i="2"/>
  <c r="AA108" i="2" s="1"/>
  <c r="AB108" i="2" s="1"/>
  <c r="Y109" i="2"/>
  <c r="AA109" i="2" s="1"/>
  <c r="AB109" i="2" s="1"/>
  <c r="Y110" i="2"/>
  <c r="AA110" i="2" s="1"/>
  <c r="AB110" i="2" s="1"/>
  <c r="Y111" i="2"/>
  <c r="AA111" i="2" s="1"/>
  <c r="AB111" i="2" s="1"/>
  <c r="Y112" i="2"/>
  <c r="AA112" i="2" s="1"/>
  <c r="AB112" i="2" s="1"/>
  <c r="Y113" i="2"/>
  <c r="AA113" i="2" s="1"/>
  <c r="AB113" i="2" s="1"/>
  <c r="Y114" i="2"/>
  <c r="AA114" i="2" s="1"/>
  <c r="AB114" i="2" s="1"/>
  <c r="Y115" i="2"/>
  <c r="AA115" i="2" s="1"/>
  <c r="AB115" i="2" s="1"/>
  <c r="Y116" i="2"/>
  <c r="AA116" i="2" s="1"/>
  <c r="AB116" i="2" s="1"/>
  <c r="Y117" i="2"/>
  <c r="AA117" i="2" s="1"/>
  <c r="AB117" i="2" s="1"/>
  <c r="Y118" i="2"/>
  <c r="AA118" i="2" s="1"/>
  <c r="AB118" i="2" s="1"/>
  <c r="Y119" i="2"/>
  <c r="AA119" i="2" s="1"/>
  <c r="AB119" i="2" s="1"/>
  <c r="Y120" i="2"/>
  <c r="AA120" i="2" s="1"/>
  <c r="AB120" i="2" s="1"/>
  <c r="Y121" i="2"/>
  <c r="AA121" i="2" s="1"/>
  <c r="AB121" i="2" s="1"/>
  <c r="Y122" i="2"/>
  <c r="AA122" i="2" s="1"/>
  <c r="AB122" i="2" s="1"/>
  <c r="Y123" i="2"/>
  <c r="AA123" i="2" s="1"/>
  <c r="AB123" i="2" s="1"/>
  <c r="Y124" i="2"/>
  <c r="AA124" i="2" s="1"/>
  <c r="AB124" i="2" s="1"/>
  <c r="Y125" i="2"/>
  <c r="AA125" i="2" s="1"/>
  <c r="AB125" i="2" s="1"/>
  <c r="Y126" i="2"/>
  <c r="AA126" i="2" s="1"/>
  <c r="AB126" i="2" s="1"/>
  <c r="Y127" i="2"/>
  <c r="AA127" i="2" s="1"/>
  <c r="AB127" i="2" s="1"/>
  <c r="Y128" i="2"/>
  <c r="AA128" i="2" s="1"/>
  <c r="AB128" i="2" s="1"/>
  <c r="Y129" i="2"/>
  <c r="AA129" i="2" s="1"/>
  <c r="AB129" i="2" s="1"/>
  <c r="Y130" i="2"/>
  <c r="AA130" i="2" s="1"/>
  <c r="AB130" i="2" s="1"/>
  <c r="Y131" i="2"/>
  <c r="AA131" i="2" s="1"/>
  <c r="AB131" i="2" s="1"/>
  <c r="Y132" i="2"/>
  <c r="AA132" i="2" s="1"/>
  <c r="AB132" i="2" s="1"/>
  <c r="Y133" i="2"/>
  <c r="AA133" i="2" s="1"/>
  <c r="AB133" i="2" s="1"/>
  <c r="Y134" i="2"/>
  <c r="AA134" i="2" s="1"/>
  <c r="AB134" i="2" s="1"/>
  <c r="Y135" i="2"/>
  <c r="AA135" i="2" s="1"/>
  <c r="AB135" i="2" s="1"/>
  <c r="Y136" i="2"/>
  <c r="AA136" i="2" s="1"/>
  <c r="AB136" i="2" s="1"/>
  <c r="Y137" i="2"/>
  <c r="AA137" i="2" s="1"/>
  <c r="AB137" i="2" s="1"/>
  <c r="Y138" i="2"/>
  <c r="AA138" i="2" s="1"/>
  <c r="AB138" i="2" s="1"/>
  <c r="Y139" i="2"/>
  <c r="AA139" i="2" s="1"/>
  <c r="AB139" i="2" s="1"/>
  <c r="Y140" i="2"/>
  <c r="AA140" i="2" s="1"/>
  <c r="AB140" i="2" s="1"/>
  <c r="Y141" i="2"/>
  <c r="AA141" i="2" s="1"/>
  <c r="AB141" i="2" s="1"/>
  <c r="Y142" i="2"/>
  <c r="AA142" i="2" s="1"/>
  <c r="AB142" i="2" s="1"/>
  <c r="Y143" i="2"/>
  <c r="AA143" i="2" s="1"/>
  <c r="AB143" i="2" s="1"/>
  <c r="Y144" i="2"/>
  <c r="AA144" i="2" s="1"/>
  <c r="AB144" i="2" s="1"/>
  <c r="Y145" i="2"/>
  <c r="AA145" i="2" s="1"/>
  <c r="AB145" i="2" s="1"/>
  <c r="Y146" i="2"/>
  <c r="AA146" i="2" s="1"/>
  <c r="AB146" i="2" s="1"/>
  <c r="Y147" i="2"/>
  <c r="AA147" i="2" s="1"/>
  <c r="AB147" i="2" s="1"/>
  <c r="Y148" i="2"/>
  <c r="AA148" i="2" s="1"/>
  <c r="AB148" i="2" s="1"/>
  <c r="Y149" i="2"/>
  <c r="AA149" i="2" s="1"/>
  <c r="AB149" i="2" s="1"/>
  <c r="Y150" i="2"/>
  <c r="AA150" i="2" s="1"/>
  <c r="AB150" i="2" s="1"/>
  <c r="Y151" i="2"/>
  <c r="AA151" i="2" s="1"/>
  <c r="AB151" i="2" s="1"/>
  <c r="Y152" i="2"/>
  <c r="AA152" i="2" s="1"/>
  <c r="AB152" i="2" s="1"/>
  <c r="Y153" i="2"/>
  <c r="AA153" i="2" s="1"/>
  <c r="AB153" i="2" s="1"/>
  <c r="Y154" i="2"/>
  <c r="AA154" i="2" s="1"/>
  <c r="AB154" i="2" s="1"/>
  <c r="Y155" i="2"/>
  <c r="AA155" i="2" s="1"/>
  <c r="AB155" i="2" s="1"/>
  <c r="Y156" i="2"/>
  <c r="AA156" i="2" s="1"/>
  <c r="AB156" i="2" s="1"/>
  <c r="Y157" i="2"/>
  <c r="AA157" i="2" s="1"/>
  <c r="AB157" i="2" s="1"/>
  <c r="Y158" i="2"/>
  <c r="AA158" i="2" s="1"/>
  <c r="AB158" i="2" s="1"/>
  <c r="Y159" i="2"/>
  <c r="AA159" i="2" s="1"/>
  <c r="AB159" i="2" s="1"/>
  <c r="Y160" i="2"/>
  <c r="AA160" i="2" s="1"/>
  <c r="AB160" i="2" s="1"/>
  <c r="Y161" i="2"/>
  <c r="AA161" i="2" s="1"/>
  <c r="AB161" i="2" s="1"/>
  <c r="Q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G9" i="6"/>
  <c r="D159" i="5"/>
  <c r="C165" i="5"/>
  <c r="D9" i="6"/>
  <c r="C170" i="5"/>
  <c r="D160" i="5"/>
  <c r="AA2" i="6" l="1"/>
  <c r="AC155" i="2"/>
  <c r="AC133" i="2"/>
  <c r="AC111" i="2"/>
  <c r="AC89" i="2"/>
  <c r="AC67" i="2"/>
  <c r="AC45" i="2"/>
  <c r="AC23" i="2"/>
  <c r="AC154" i="2"/>
  <c r="AC132" i="2"/>
  <c r="AC110" i="2"/>
  <c r="AC88" i="2"/>
  <c r="AC66" i="2"/>
  <c r="AC44" i="2"/>
  <c r="AC22" i="2"/>
  <c r="AC153" i="2"/>
  <c r="AC131" i="2"/>
  <c r="AC109" i="2"/>
  <c r="AC87" i="2"/>
  <c r="AC65" i="2"/>
  <c r="AC43" i="2"/>
  <c r="AC21" i="2"/>
  <c r="AC152" i="2"/>
  <c r="AC130" i="2"/>
  <c r="AC108" i="2"/>
  <c r="AC86" i="2"/>
  <c r="AC64" i="2"/>
  <c r="AC42" i="2"/>
  <c r="AC20" i="2"/>
  <c r="AC151" i="2"/>
  <c r="AC129" i="2"/>
  <c r="AC107" i="2"/>
  <c r="AC85" i="2"/>
  <c r="AC63" i="2"/>
  <c r="AC41" i="2"/>
  <c r="AC19" i="2"/>
  <c r="AC150" i="2"/>
  <c r="AC128" i="2"/>
  <c r="AC106" i="2"/>
  <c r="AC84" i="2"/>
  <c r="AC62" i="2"/>
  <c r="AC40" i="2"/>
  <c r="AC18" i="2"/>
  <c r="AC149" i="2"/>
  <c r="AC127" i="2"/>
  <c r="AC105" i="2"/>
  <c r="AC83" i="2"/>
  <c r="AC61" i="2"/>
  <c r="AC39" i="2"/>
  <c r="AC17" i="2"/>
  <c r="AC148" i="2"/>
  <c r="AC126" i="2"/>
  <c r="AC104" i="2"/>
  <c r="AC82" i="2"/>
  <c r="AC60" i="2"/>
  <c r="AC38" i="2"/>
  <c r="AC16" i="2"/>
  <c r="AC147" i="2"/>
  <c r="AC125" i="2"/>
  <c r="AC103" i="2"/>
  <c r="AC81" i="2"/>
  <c r="AC59" i="2"/>
  <c r="AC37" i="2"/>
  <c r="AC15" i="2"/>
  <c r="AC146" i="2"/>
  <c r="AC124" i="2"/>
  <c r="AC102" i="2"/>
  <c r="AC80" i="2"/>
  <c r="AC58" i="2"/>
  <c r="AC36" i="2"/>
  <c r="AC14" i="2"/>
  <c r="AC145" i="2"/>
  <c r="AC123" i="2"/>
  <c r="AC101" i="2"/>
  <c r="AC79" i="2"/>
  <c r="AC57" i="2"/>
  <c r="AC35" i="2"/>
  <c r="AC13" i="2"/>
  <c r="AC144" i="2"/>
  <c r="AC122" i="2"/>
  <c r="AC100" i="2"/>
  <c r="AC78" i="2"/>
  <c r="AC56" i="2"/>
  <c r="AC34" i="2"/>
  <c r="AC12" i="2"/>
  <c r="AC143" i="2"/>
  <c r="AC121" i="2"/>
  <c r="AC99" i="2"/>
  <c r="AC77" i="2"/>
  <c r="AC55" i="2"/>
  <c r="AC33" i="2"/>
  <c r="AC11" i="2"/>
  <c r="AC142" i="2"/>
  <c r="AC120" i="2"/>
  <c r="AC98" i="2"/>
  <c r="AC76" i="2"/>
  <c r="AC54" i="2"/>
  <c r="AC32" i="2"/>
  <c r="AC10" i="2"/>
  <c r="AC141" i="2"/>
  <c r="AC119" i="2"/>
  <c r="AC97" i="2"/>
  <c r="AC75" i="2"/>
  <c r="AC53" i="2"/>
  <c r="AC31" i="2"/>
  <c r="AC9" i="2"/>
  <c r="AC140" i="2"/>
  <c r="AC118" i="2"/>
  <c r="AC96" i="2"/>
  <c r="AC74" i="2"/>
  <c r="AC52" i="2"/>
  <c r="AC30" i="2"/>
  <c r="AC8" i="2"/>
  <c r="AC161" i="2"/>
  <c r="AC139" i="2"/>
  <c r="AC117" i="2"/>
  <c r="AC95" i="2"/>
  <c r="AC73" i="2"/>
  <c r="AC51" i="2"/>
  <c r="AC29" i="2"/>
  <c r="AC7" i="2"/>
  <c r="AC160" i="2"/>
  <c r="AC138" i="2"/>
  <c r="AC116" i="2"/>
  <c r="AC94" i="2"/>
  <c r="AC72" i="2"/>
  <c r="AC50" i="2"/>
  <c r="AC28" i="2"/>
  <c r="AC6" i="2"/>
  <c r="AC159" i="2"/>
  <c r="AC137" i="2"/>
  <c r="AC115" i="2"/>
  <c r="AC93" i="2"/>
  <c r="AC71" i="2"/>
  <c r="AC49" i="2"/>
  <c r="AC27" i="2"/>
  <c r="AC5" i="2"/>
  <c r="AC158" i="2"/>
  <c r="AC136" i="2"/>
  <c r="AC114" i="2"/>
  <c r="AC92" i="2"/>
  <c r="AC70" i="2"/>
  <c r="AC48" i="2"/>
  <c r="AC26" i="2"/>
  <c r="AC4" i="2"/>
  <c r="AC157" i="2"/>
  <c r="AC135" i="2"/>
  <c r="AC113" i="2"/>
  <c r="AC91" i="2"/>
  <c r="AC69" i="2"/>
  <c r="AC47" i="2"/>
  <c r="AC25" i="2"/>
  <c r="AC3" i="2"/>
  <c r="AC156" i="2"/>
  <c r="AC134" i="2"/>
  <c r="AC112" i="2"/>
  <c r="AC90" i="2"/>
  <c r="AC68" i="2"/>
  <c r="AC46" i="2"/>
  <c r="AC24" i="2"/>
  <c r="AC2" i="2"/>
  <c r="J9" i="6"/>
  <c r="AA3" i="6" s="1"/>
  <c r="M9" i="6"/>
  <c r="AA4" i="6" s="1"/>
  <c r="P9" i="6"/>
  <c r="AA5" i="6" s="1"/>
</calcChain>
</file>

<file path=xl/sharedStrings.xml><?xml version="1.0" encoding="utf-8"?>
<sst xmlns="http://schemas.openxmlformats.org/spreadsheetml/2006/main" count="2876" uniqueCount="517">
  <si>
    <t>1</t>
  </si>
  <si>
    <t>Total Travel Spend</t>
  </si>
  <si>
    <t>2</t>
  </si>
  <si>
    <t>3</t>
  </si>
  <si>
    <t>4</t>
  </si>
  <si>
    <t>5</t>
  </si>
  <si>
    <t>6</t>
  </si>
  <si>
    <t>Preferred Vendor Usage</t>
  </si>
  <si>
    <t>7</t>
  </si>
  <si>
    <t>Top Destinations by Spend</t>
  </si>
  <si>
    <t>8</t>
  </si>
  <si>
    <t>Spend by Department</t>
  </si>
  <si>
    <t>9</t>
  </si>
  <si>
    <t>10</t>
  </si>
  <si>
    <t>Trip_ID</t>
  </si>
  <si>
    <t>Traveler_Name</t>
  </si>
  <si>
    <t>Role_Level</t>
  </si>
  <si>
    <t>Department</t>
  </si>
  <si>
    <t>Origin_City</t>
  </si>
  <si>
    <t>Destination</t>
  </si>
  <si>
    <t>Trip_Type</t>
  </si>
  <si>
    <t>Travel_Purpose</t>
  </si>
  <si>
    <t>Booking_Channel</t>
  </si>
  <si>
    <t>Booking_Date</t>
  </si>
  <si>
    <t>Departure_Date</t>
  </si>
  <si>
    <t>Return_Date</t>
  </si>
  <si>
    <t>Airline</t>
  </si>
  <si>
    <t>Hotel</t>
  </si>
  <si>
    <t>Airfare_USD</t>
  </si>
  <si>
    <t>Hotel_USD</t>
  </si>
  <si>
    <t>Ground_Transport_USD</t>
  </si>
  <si>
    <t>Meals_USD</t>
  </si>
  <si>
    <t>Other_Expenses_USD</t>
  </si>
  <si>
    <t>Budget_USD</t>
  </si>
  <si>
    <t>Approval_Status</t>
  </si>
  <si>
    <t>Expense_Report_Status</t>
  </si>
  <si>
    <t>Preferred_Vendor_Used</t>
  </si>
  <si>
    <t>Policy_Exception</t>
  </si>
  <si>
    <t>Exception_Reason</t>
  </si>
  <si>
    <t>TR-0001</t>
  </si>
  <si>
    <t>Leo Torres</t>
  </si>
  <si>
    <t>Manager</t>
  </si>
  <si>
    <t>Finance</t>
  </si>
  <si>
    <t>Orlando, FL</t>
  </si>
  <si>
    <t>San Francisco, CA</t>
  </si>
  <si>
    <t>Domestic</t>
  </si>
  <si>
    <t>Industry Conference</t>
  </si>
  <si>
    <t>Direct Airline</t>
  </si>
  <si>
    <t>JetBlue</t>
  </si>
  <si>
    <t>Embassy Suites</t>
  </si>
  <si>
    <t>Approved</t>
  </si>
  <si>
    <t>Pending</t>
  </si>
  <si>
    <t>Yes</t>
  </si>
  <si>
    <t>No</t>
  </si>
  <si>
    <t>TR-0002</t>
  </si>
  <si>
    <t>Sophia Foster</t>
  </si>
  <si>
    <t>C-Level</t>
  </si>
  <si>
    <t>Executive Office</t>
  </si>
  <si>
    <t>London, UK</t>
  </si>
  <si>
    <t>International</t>
  </si>
  <si>
    <t>Travel Management Company</t>
  </si>
  <si>
    <t>Air Canada</t>
  </si>
  <si>
    <t>Hilton</t>
  </si>
  <si>
    <t>Non-preferred vendor</t>
  </si>
  <si>
    <t>TR-0003</t>
  </si>
  <si>
    <t>Mariana Brooks</t>
  </si>
  <si>
    <t>Director</t>
  </si>
  <si>
    <t>HR</t>
  </si>
  <si>
    <t>Los Angeles, CA</t>
  </si>
  <si>
    <t>Site Visit</t>
  </si>
  <si>
    <t>American Airlines</t>
  </si>
  <si>
    <t>Courtyard</t>
  </si>
  <si>
    <t>TR-0004</t>
  </si>
  <si>
    <t>Paula Murphy</t>
  </si>
  <si>
    <t>Dallas, TX</t>
  </si>
  <si>
    <t>Strategy Session</t>
  </si>
  <si>
    <t>Executive Assistant Booking</t>
  </si>
  <si>
    <t>Sheraton</t>
  </si>
  <si>
    <t>TR-0005</t>
  </si>
  <si>
    <t>David Salazar</t>
  </si>
  <si>
    <t>Mexico City, Mexico</t>
  </si>
  <si>
    <t>Corporate Travel Portal</t>
  </si>
  <si>
    <t>Marriott</t>
  </si>
  <si>
    <t>Reimbursed</t>
  </si>
  <si>
    <t>TR-0006</t>
  </si>
  <si>
    <t>Henry Alvarez</t>
  </si>
  <si>
    <t>Product</t>
  </si>
  <si>
    <t>Miami, FL</t>
  </si>
  <si>
    <t>TR-0007</t>
  </si>
  <si>
    <t>Isabella Hayes</t>
  </si>
  <si>
    <t>Chicago, IL</t>
  </si>
  <si>
    <t>Westin</t>
  </si>
  <si>
    <t>Submitted</t>
  </si>
  <si>
    <t>TR-0008</t>
  </si>
  <si>
    <t>Lucia Mitchell</t>
  </si>
  <si>
    <t>VP</t>
  </si>
  <si>
    <t>New York, NY</t>
  </si>
  <si>
    <t>Leadership Workshop</t>
  </si>
  <si>
    <t>Southwest</t>
  </si>
  <si>
    <t>TR-0009</t>
  </si>
  <si>
    <t>Nicholas Herrera</t>
  </si>
  <si>
    <t>Lima, Peru</t>
  </si>
  <si>
    <t>Delta</t>
  </si>
  <si>
    <t>TR-0010</t>
  </si>
  <si>
    <t>Washington, DC</t>
  </si>
  <si>
    <t>TR-0011</t>
  </si>
  <si>
    <t>Benjamin Vargas</t>
  </si>
  <si>
    <t>Marketing</t>
  </si>
  <si>
    <t>Board Meeting</t>
  </si>
  <si>
    <t>TR-0012</t>
  </si>
  <si>
    <t>Ryan Mendoza</t>
  </si>
  <si>
    <t>Operations</t>
  </si>
  <si>
    <t>Client Meeting</t>
  </si>
  <si>
    <t>Conrad</t>
  </si>
  <si>
    <t>TR-0013</t>
  </si>
  <si>
    <t>Noah Martinez</t>
  </si>
  <si>
    <t>Executive Meeting</t>
  </si>
  <si>
    <t>Spend above approved budget</t>
  </si>
  <si>
    <t>TR-0014</t>
  </si>
  <si>
    <t>Jonathan Delgado</t>
  </si>
  <si>
    <t>São Paulo, Brazil</t>
  </si>
  <si>
    <t>United</t>
  </si>
  <si>
    <t>TR-0015</t>
  </si>
  <si>
    <t>Ava Price</t>
  </si>
  <si>
    <t>Sales</t>
  </si>
  <si>
    <t>Boston, MA</t>
  </si>
  <si>
    <t>Vendor Negotiation</t>
  </si>
  <si>
    <t>TR-0016</t>
  </si>
  <si>
    <t>Valentina Morgan</t>
  </si>
  <si>
    <t>TR-0017</t>
  </si>
  <si>
    <t>Sofia Collins</t>
  </si>
  <si>
    <t>TR-0018</t>
  </si>
  <si>
    <t>Samuel Castillo</t>
  </si>
  <si>
    <t>Austin, TX</t>
  </si>
  <si>
    <t>TR-0019</t>
  </si>
  <si>
    <t>TR-0020</t>
  </si>
  <si>
    <t>Sebastian Medina</t>
  </si>
  <si>
    <t>Technology</t>
  </si>
  <si>
    <t>Hyatt</t>
  </si>
  <si>
    <t>TR-0021</t>
  </si>
  <si>
    <t>Thomas Ramirez</t>
  </si>
  <si>
    <t>TR-0022</t>
  </si>
  <si>
    <t>TR-0023</t>
  </si>
  <si>
    <t>Grace Carter</t>
  </si>
  <si>
    <t>LATAM</t>
  </si>
  <si>
    <t>TR-0024</t>
  </si>
  <si>
    <t>TR-0025</t>
  </si>
  <si>
    <t>Julian Paredes</t>
  </si>
  <si>
    <t>TR-0026</t>
  </si>
  <si>
    <t>Caroline Evans</t>
  </si>
  <si>
    <t>Late booking</t>
  </si>
  <si>
    <t>TR-0027</t>
  </si>
  <si>
    <t>TR-0028</t>
  </si>
  <si>
    <t>TR-0029</t>
  </si>
  <si>
    <t>Alexander Gomez</t>
  </si>
  <si>
    <t>TR-0030</t>
  </si>
  <si>
    <t>TR-0031</t>
  </si>
  <si>
    <t>Seattle, WA</t>
  </si>
  <si>
    <t>TR-0032</t>
  </si>
  <si>
    <t>Madrid, Spain</t>
  </si>
  <si>
    <t>TR-0033</t>
  </si>
  <si>
    <t>TR-0034</t>
  </si>
  <si>
    <t>Diana Gray</t>
  </si>
  <si>
    <t>TR-0035</t>
  </si>
  <si>
    <t>TR-0036</t>
  </si>
  <si>
    <t>TR-0037</t>
  </si>
  <si>
    <t>TR-0038</t>
  </si>
  <si>
    <t>Andrea Reed</t>
  </si>
  <si>
    <t>TR-0039</t>
  </si>
  <si>
    <t>TR-0040</t>
  </si>
  <si>
    <t>Lucas Rojas</t>
  </si>
  <si>
    <t>TR-0041</t>
  </si>
  <si>
    <t>Toronto, Canada</t>
  </si>
  <si>
    <t>TR-0042</t>
  </si>
  <si>
    <t>Elena Turner</t>
  </si>
  <si>
    <t>TR-0043</t>
  </si>
  <si>
    <t>Gabriela Parker</t>
  </si>
  <si>
    <t>TR-0044</t>
  </si>
  <si>
    <t>TR-0045</t>
  </si>
  <si>
    <t>Marco Rivera</t>
  </si>
  <si>
    <t>TR-0046</t>
  </si>
  <si>
    <t>TR-0047</t>
  </si>
  <si>
    <t>Atlanta, GA</t>
  </si>
  <si>
    <t>TR-0048</t>
  </si>
  <si>
    <t>TR-0049</t>
  </si>
  <si>
    <t>TR-0050</t>
  </si>
  <si>
    <t>TR-0051</t>
  </si>
  <si>
    <t>TR-0052</t>
  </si>
  <si>
    <t>British Airways</t>
  </si>
  <si>
    <t>TR-0053</t>
  </si>
  <si>
    <t>TR-0054</t>
  </si>
  <si>
    <t>TR-0055</t>
  </si>
  <si>
    <t>TR-0056</t>
  </si>
  <si>
    <t>TR-0057</t>
  </si>
  <si>
    <t>TR-0058</t>
  </si>
  <si>
    <t>TR-0059</t>
  </si>
  <si>
    <t>Natalia Cooper</t>
  </si>
  <si>
    <t>TR-0060</t>
  </si>
  <si>
    <t>TR-0061</t>
  </si>
  <si>
    <t>TR-0062</t>
  </si>
  <si>
    <t>Denver, CO</t>
  </si>
  <si>
    <t>TR-0063</t>
  </si>
  <si>
    <t>Emma Bennett</t>
  </si>
  <si>
    <t>TR-0064</t>
  </si>
  <si>
    <t>TR-0065</t>
  </si>
  <si>
    <t>TR-0066</t>
  </si>
  <si>
    <t>TR-0067</t>
  </si>
  <si>
    <t>TR-0068</t>
  </si>
  <si>
    <t>Daniel Flores</t>
  </si>
  <si>
    <t>TR-0069</t>
  </si>
  <si>
    <t>TR-0070</t>
  </si>
  <si>
    <t>TR-0071</t>
  </si>
  <si>
    <t>Olivia Walker</t>
  </si>
  <si>
    <t>TR-0072</t>
  </si>
  <si>
    <t>TR-0073</t>
  </si>
  <si>
    <t>Mia Bailey</t>
  </si>
  <si>
    <t>TR-0074</t>
  </si>
  <si>
    <t>TR-0075</t>
  </si>
  <si>
    <t>TR-0076</t>
  </si>
  <si>
    <t>Liam Santos</t>
  </si>
  <si>
    <t>TR-0077</t>
  </si>
  <si>
    <t>TR-0078</t>
  </si>
  <si>
    <t>TR-0079</t>
  </si>
  <si>
    <t>Camila Ross</t>
  </si>
  <si>
    <t>TR-0080</t>
  </si>
  <si>
    <t>TR-0081</t>
  </si>
  <si>
    <t>TR-0082</t>
  </si>
  <si>
    <t>TR-0083</t>
  </si>
  <si>
    <t>TR-0084</t>
  </si>
  <si>
    <t>TR-0085</t>
  </si>
  <si>
    <t>TR-0086</t>
  </si>
  <si>
    <t>TR-0087</t>
  </si>
  <si>
    <t>TR-0088</t>
  </si>
  <si>
    <t>TR-0089</t>
  </si>
  <si>
    <t>TR-0090</t>
  </si>
  <si>
    <t>TR-0091</t>
  </si>
  <si>
    <t>TR-0092</t>
  </si>
  <si>
    <t>TR-0093</t>
  </si>
  <si>
    <t>TR-0094</t>
  </si>
  <si>
    <t>TR-0095</t>
  </si>
  <si>
    <t>TR-0096</t>
  </si>
  <si>
    <t>TR-0097</t>
  </si>
  <si>
    <t>TR-0098</t>
  </si>
  <si>
    <t>TR-0099</t>
  </si>
  <si>
    <t>TR-0100</t>
  </si>
  <si>
    <t>TR-0101</t>
  </si>
  <si>
    <t>TR-0102</t>
  </si>
  <si>
    <t>TR-0103</t>
  </si>
  <si>
    <t>TR-0104</t>
  </si>
  <si>
    <t>TR-0105</t>
  </si>
  <si>
    <t>TR-0106</t>
  </si>
  <si>
    <t>TR-0107</t>
  </si>
  <si>
    <t>TR-0108</t>
  </si>
  <si>
    <t>TR-0109</t>
  </si>
  <si>
    <t>TR-0110</t>
  </si>
  <si>
    <t>TR-0111</t>
  </si>
  <si>
    <t>Victoria Ward</t>
  </si>
  <si>
    <t>TR-0112</t>
  </si>
  <si>
    <t>TR-0113</t>
  </si>
  <si>
    <t>TR-0114</t>
  </si>
  <si>
    <t>TR-0115</t>
  </si>
  <si>
    <t>TR-0116</t>
  </si>
  <si>
    <t>James Campos</t>
  </si>
  <si>
    <t>TR-0117</t>
  </si>
  <si>
    <t>TR-0118</t>
  </si>
  <si>
    <t>TR-0119</t>
  </si>
  <si>
    <t>TR-0120</t>
  </si>
  <si>
    <t>TR-0121</t>
  </si>
  <si>
    <t>TR-0122</t>
  </si>
  <si>
    <t>TR-0123</t>
  </si>
  <si>
    <t>TR-0124</t>
  </si>
  <si>
    <t>TR-0125</t>
  </si>
  <si>
    <t>TR-0126</t>
  </si>
  <si>
    <t>TR-0127</t>
  </si>
  <si>
    <t>TR-0128</t>
  </si>
  <si>
    <t>TR-0129</t>
  </si>
  <si>
    <t>TR-0130</t>
  </si>
  <si>
    <t>TR-0131</t>
  </si>
  <si>
    <t>TR-0132</t>
  </si>
  <si>
    <t>TR-0133</t>
  </si>
  <si>
    <t>TR-0134</t>
  </si>
  <si>
    <t>TR-0135</t>
  </si>
  <si>
    <t>TR-0136</t>
  </si>
  <si>
    <t>TR-0137</t>
  </si>
  <si>
    <t>TR-0138</t>
  </si>
  <si>
    <t>Ethan Silva</t>
  </si>
  <si>
    <t>TR-0139</t>
  </si>
  <si>
    <t>TR-0140</t>
  </si>
  <si>
    <t>TR-0141</t>
  </si>
  <si>
    <t>TR-0142</t>
  </si>
  <si>
    <t>TR-0143</t>
  </si>
  <si>
    <t>TR-0144</t>
  </si>
  <si>
    <t>TR-0145</t>
  </si>
  <si>
    <t>TR-0146</t>
  </si>
  <si>
    <t>TR-0147</t>
  </si>
  <si>
    <t>TR-0148</t>
  </si>
  <si>
    <t>TR-0149</t>
  </si>
  <si>
    <t>TR-0150</t>
  </si>
  <si>
    <t>TR-0151</t>
  </si>
  <si>
    <t>TR-0152</t>
  </si>
  <si>
    <t>Mateo Navarro</t>
  </si>
  <si>
    <t>TR-0153</t>
  </si>
  <si>
    <t>TR-0154</t>
  </si>
  <si>
    <t>TR-0155</t>
  </si>
  <si>
    <t>TR-0156</t>
  </si>
  <si>
    <t>TR-0157</t>
  </si>
  <si>
    <t>TR-0158</t>
  </si>
  <si>
    <t>TR-0159</t>
  </si>
  <si>
    <t>TR-0160</t>
  </si>
  <si>
    <t>Field</t>
  </si>
  <si>
    <t>Definition</t>
  </si>
  <si>
    <t>Suggested Excel Use</t>
  </si>
  <si>
    <t>Unique identifier for each trip.</t>
  </si>
  <si>
    <t>Primary key / lookup field</t>
  </si>
  <si>
    <t>Employee or executive traveling.</t>
  </si>
  <si>
    <t>Slicers / PivotTables</t>
  </si>
  <si>
    <t>Traveler seniority level.</t>
  </si>
  <si>
    <t>Spend by level</t>
  </si>
  <si>
    <t>Traveler's business function.</t>
  </si>
  <si>
    <t>Spend by department</t>
  </si>
  <si>
    <t>Trip origin.</t>
  </si>
  <si>
    <t>Route analysis</t>
  </si>
  <si>
    <t>Trip destination.</t>
  </si>
  <si>
    <t>Top destinations</t>
  </si>
  <si>
    <t>Domestic or International.</t>
  </si>
  <si>
    <t>Segment analysis</t>
  </si>
  <si>
    <t>Business reason for the trip.</t>
  </si>
  <si>
    <t>Purpose mix</t>
  </si>
  <si>
    <t>How the trip was booked.</t>
  </si>
  <si>
    <t>Process efficiency</t>
  </si>
  <si>
    <t>Date the reservation was made.</t>
  </si>
  <si>
    <t>Calculate Booking Lead Days</t>
  </si>
  <si>
    <t>Travel start date.</t>
  </si>
  <si>
    <t>Monthly trend / duration</t>
  </si>
  <si>
    <t>Travel end date.</t>
  </si>
  <si>
    <t>Calculate Trip Duration</t>
  </si>
  <si>
    <t>Airline used.</t>
  </si>
  <si>
    <t>Vendor analysis</t>
  </si>
  <si>
    <t>Hotel brand used.</t>
  </si>
  <si>
    <t>Air ticket cost.</t>
  </si>
  <si>
    <t>Expense component</t>
  </si>
  <si>
    <t>Hotel cost.</t>
  </si>
  <si>
    <t>Taxi, rideshare, rental car, transfers.</t>
  </si>
  <si>
    <t>Meal expenses.</t>
  </si>
  <si>
    <t>Other reimbursable costs.</t>
  </si>
  <si>
    <t>Approved trip budget.</t>
  </si>
  <si>
    <t>Budget variance</t>
  </si>
  <si>
    <t>Current approval status.</t>
  </si>
  <si>
    <t>Workflow tracking</t>
  </si>
  <si>
    <t>Expense report workflow status.</t>
  </si>
  <si>
    <t>Follow-up tracking</t>
  </si>
  <si>
    <t>Whether preferred suppliers were used.</t>
  </si>
  <si>
    <t>Vendor compliance KPI</t>
  </si>
  <si>
    <t>Whether the trip triggered a policy exception.</t>
  </si>
  <si>
    <t>Compliance KPI</t>
  </si>
  <si>
    <t>Primary reason for policy exception.</t>
  </si>
  <si>
    <t>Exception analysis</t>
  </si>
  <si>
    <t>EXCEL BUILD CHECKLIST — YOU WILL CREATE THESE YOURSELF</t>
  </si>
  <si>
    <t>PHASE 1 — DATA PREPARATION</t>
  </si>
  <si>
    <t>Convert the data range into an Excel Table and give it a professional name.</t>
  </si>
  <si>
    <t>Add calculated column: Trip_Duration_Days = Return Date - Departure Date.</t>
  </si>
  <si>
    <t>Add calculated column: Booking_Lead_Days = Departure Date - Booking Date.</t>
  </si>
  <si>
    <t>Add calculated column: Total_Actual_USD = Airfare + Hotel + Ground + Meals + Other.</t>
  </si>
  <si>
    <t>Add calculated column: Budget_Variance_USD = Budget - Total Actual.</t>
  </si>
  <si>
    <t>Add calculated column: Budget_Variance_% = Budget Variance / Budget.</t>
  </si>
  <si>
    <t>Add calculated column: Budget_Status = Within Budget / Over Budget.</t>
  </si>
  <si>
    <t>Add calculated column: Travel_Month = month from Departure Date.</t>
  </si>
  <si>
    <t>PHASE 2 — PIVOTTABLES</t>
  </si>
  <si>
    <t>Create PivotTable: Total Spend by Month.</t>
  </si>
  <si>
    <t>Create PivotTable: Total Spend by Department.</t>
  </si>
  <si>
    <t>11</t>
  </si>
  <si>
    <t>Create PivotTable: Top 10 Destinations by Spend.</t>
  </si>
  <si>
    <t>12</t>
  </si>
  <si>
    <t>Create PivotTable: Spend by Airline and Hotel.</t>
  </si>
  <si>
    <t>13</t>
  </si>
  <si>
    <t>Create PivotTable: Policy Exceptions by Reason.</t>
  </si>
  <si>
    <t>PHASE 3 — DASHBOARD</t>
  </si>
  <si>
    <t>14</t>
  </si>
  <si>
    <t>Create KPI card: Total Travel Spend.</t>
  </si>
  <si>
    <t>15</t>
  </si>
  <si>
    <t>Create KPI card: Average Trip Cost.</t>
  </si>
  <si>
    <t>16</t>
  </si>
  <si>
    <t>Create KPI card: % Within Budget.</t>
  </si>
  <si>
    <t>17</t>
  </si>
  <si>
    <t>Create KPI card: Policy Exception Rate.</t>
  </si>
  <si>
    <t>18</t>
  </si>
  <si>
    <t>Create KPI card: Preferred Vendor Usage.</t>
  </si>
  <si>
    <t>19</t>
  </si>
  <si>
    <t>Add charts for monthly trend, departments, destinations, and budget status.</t>
  </si>
  <si>
    <t>20</t>
  </si>
  <si>
    <t>Add slicers for Department, Role Level, Trip Type, and Month.</t>
  </si>
  <si>
    <t>PHASE 4 — MACRO PRACTICE</t>
  </si>
  <si>
    <t>21</t>
  </si>
  <si>
    <t>Create a macro that refreshes all PivotTables.</t>
  </si>
  <si>
    <t>22</t>
  </si>
  <si>
    <t>Create a macro that clears dashboard filters/slicers.</t>
  </si>
  <si>
    <t>23</t>
  </si>
  <si>
    <t>Create a macro that highlights trips with policy exceptions.</t>
  </si>
  <si>
    <t>24</t>
  </si>
  <si>
    <t>Create a macro button called 'Refresh Dashboard'.</t>
  </si>
  <si>
    <t>PORTFOLIO EVIDENCE</t>
  </si>
  <si>
    <t>25</t>
  </si>
  <si>
    <t>Take a clean screenshot of the raw tracker.</t>
  </si>
  <si>
    <t>26</t>
  </si>
  <si>
    <t>Take a screenshot of the final executive dashboard.</t>
  </si>
  <si>
    <t>27</t>
  </si>
  <si>
    <t>Take a screenshot showing your macro buttons.</t>
  </si>
  <si>
    <t>28</t>
  </si>
  <si>
    <t>Save the workbook and later publish the project structure and README on GitHub.</t>
  </si>
  <si>
    <t>ok</t>
  </si>
  <si>
    <t>Trip_Duration_Days</t>
  </si>
  <si>
    <t>Booking_lead_Days</t>
  </si>
  <si>
    <t>Total_Actual_USD</t>
  </si>
  <si>
    <t>Budget_Variance_USD</t>
  </si>
  <si>
    <t>Budget_Variance_%</t>
  </si>
  <si>
    <t>Budget Status</t>
  </si>
  <si>
    <t>Travel_Month2</t>
  </si>
  <si>
    <t>Etiquetas de fila</t>
  </si>
  <si>
    <t>Total general</t>
  </si>
  <si>
    <t>Jan</t>
  </si>
  <si>
    <t>Feb</t>
  </si>
  <si>
    <t>Mar</t>
  </si>
  <si>
    <t>Apr</t>
  </si>
  <si>
    <t>May</t>
  </si>
  <si>
    <t>Jun</t>
  </si>
  <si>
    <t>Suma de Total_Actual_USD</t>
  </si>
  <si>
    <t>Total Spend by Month.</t>
  </si>
  <si>
    <t>Total Spend by Department.</t>
  </si>
  <si>
    <t>Top 10 Destinations by Spend.</t>
  </si>
  <si>
    <t>Cuenta de Exception_Reason</t>
  </si>
  <si>
    <t>Number of Exceptions</t>
  </si>
  <si>
    <t>Policy Exception Reason</t>
  </si>
  <si>
    <t>Exception related Spend</t>
  </si>
  <si>
    <t>Total Spend</t>
  </si>
  <si>
    <t>Executive Travel &amp; Expense Dashboard</t>
  </si>
  <si>
    <t>Avg Trip Cost</t>
  </si>
  <si>
    <t>% Within Budget</t>
  </si>
  <si>
    <t>Exception Rate</t>
  </si>
  <si>
    <t>Monthly Spend Trend</t>
  </si>
  <si>
    <t>Cuenta de Trip_ID</t>
  </si>
  <si>
    <t>Promedio de Total_Actual_USD</t>
  </si>
  <si>
    <t>Over Budget</t>
  </si>
  <si>
    <t>Within Budget</t>
  </si>
  <si>
    <t>Ver Grafico en Dashboard</t>
  </si>
  <si>
    <t>Travel_Month</t>
  </si>
  <si>
    <t>Month_Number</t>
  </si>
  <si>
    <t>January – June 2026 | Interactive Excel Dashboard</t>
  </si>
  <si>
    <t>INSIGHTS</t>
  </si>
  <si>
    <t>Portfolio Project | January - June 2026</t>
  </si>
  <si>
    <t>Project Overview</t>
  </si>
  <si>
    <t>Business Objectives</t>
  </si>
  <si>
    <t>Dashboard KPIs</t>
  </si>
  <si>
    <t>Automation</t>
  </si>
  <si>
    <t>Key Insights</t>
  </si>
  <si>
    <t xml:space="preserve">Tools &amp; Skills </t>
  </si>
  <si>
    <t>• May recorded the highest travel spend at $75,497.</t>
  </si>
  <si>
    <t>• Finance was the highest-spending department.</t>
  </si>
  <si>
    <t>• 61.9% of trips remained within budget.</t>
  </si>
  <si>
    <t>• 28.1% of trips involved a policy exception.</t>
  </si>
  <si>
    <t>• Preferred vendor usage reached 79.4%.</t>
  </si>
  <si>
    <t>• Policy exception analysis identified 45 exception trips.</t>
  </si>
  <si>
    <t>• The most common exception reason was use of a non-preferred vendor.</t>
  </si>
  <si>
    <t>VBA macros were added to improve usability and automate recurring tasks.</t>
  </si>
  <si>
    <t>The automated controls include:</t>
  </si>
  <si>
    <t>• Refresh Dashboard</t>
  </si>
  <si>
    <t>Updates PivotTables, charts, and linked calculations.</t>
  </si>
  <si>
    <t>• Clear Filters</t>
  </si>
  <si>
    <t>Resets all dashboard slicers.</t>
  </si>
  <si>
    <t>• Reset &amp; Refresh</t>
  </si>
  <si>
    <t>Clears filters and refreshes the complete reporting model in one action.</t>
  </si>
  <si>
    <t>• Highlight Policy Exceptions</t>
  </si>
  <si>
    <t>Automatically identifies and highlights trips with policy exceptions.</t>
  </si>
  <si>
    <t>The macro also counts the exceptions and confirms the result to the user.</t>
  </si>
  <si>
    <t>Current dataset result:</t>
  </si>
  <si>
    <t>45 policy exception trips identified.</t>
  </si>
  <si>
    <t>The dashboard includes:</t>
  </si>
  <si>
    <t>• Monthly Spend Trend</t>
  </si>
  <si>
    <t>• Spend by Department</t>
  </si>
  <si>
    <t>• Top Destinations by Spend</t>
  </si>
  <si>
    <t>• Budget Status</t>
  </si>
  <si>
    <t>• Department slicer</t>
  </si>
  <si>
    <t>• Travel Month slicer</t>
  </si>
  <si>
    <t>• Trip Type slicer</t>
  </si>
  <si>
    <t>• Role Level slicer</t>
  </si>
  <si>
    <t>The executive dashboard includes five key performance indicators:</t>
  </si>
  <si>
    <t>• Total Travel Spend: $349,445</t>
  </si>
  <si>
    <t>• Average Trip Cost: $2,184</t>
  </si>
  <si>
    <t>• Trips Within Budget: 61.9%</t>
  </si>
  <si>
    <t>• Policy Exception Rate: 28.1%</t>
  </si>
  <si>
    <t>• Preferred Vendor Usage: 79.4%</t>
  </si>
  <si>
    <t>Interactive Dashboard</t>
  </si>
  <si>
    <t>This project simulates a corporate travel and expense management environment. The goal was to build an interactive Excel solution that helps management monitor travel spend, budget compliance, vendor usage, policy exceptions, and departmental travel activity.</t>
  </si>
  <si>
    <t>Dataset</t>
  </si>
  <si>
    <t>Analysis</t>
  </si>
  <si>
    <t>Project Scope &amp; Methodology</t>
  </si>
  <si>
    <t>Analyze corporate travel activity to support cost control, policy compliance, and operational decision-making.</t>
  </si>
  <si>
    <t>Key questions:</t>
  </si>
  <si>
    <t>• Where is travel spend concentrated?</t>
  </si>
  <si>
    <t>• Which departments and destinations drive the highest costs?</t>
  </si>
  <si>
    <t>• How effectively is the company staying within budget?</t>
  </si>
  <si>
    <t>• How often do policy exceptions occur?</t>
  </si>
  <si>
    <t>• How frequently are preferred vendors used?</t>
  </si>
  <si>
    <t>• How does spend vary by month, trip type, and role level?</t>
  </si>
  <si>
    <t>160 corporate travel records from January to June 2026.</t>
  </si>
  <si>
    <t>Preparation</t>
  </si>
  <si>
    <t>Standardized dates, created month fields, calculated total spend and budget variance, classified budget status, and validated policy/vendor fields.</t>
  </si>
  <si>
    <t>Built PivotTables for monthly spend, department spend, destinations, vendors, budget status, and policy exceptions.</t>
  </si>
  <si>
    <t>Excel</t>
  </si>
  <si>
    <t>Data Cleaning</t>
  </si>
  <si>
    <t>PivotTables / PivotCharts</t>
  </si>
  <si>
    <t>KPI Development</t>
  </si>
  <si>
    <t>Slicers</t>
  </si>
  <si>
    <t>Dashboard Design</t>
  </si>
  <si>
    <t>VBA Automation</t>
  </si>
  <si>
    <t>Business Analysis</t>
  </si>
  <si>
    <t>Travel &amp; Expense Analysis</t>
  </si>
  <si>
    <t>Executive Reporting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</si>
</sst>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mm/dd/yyyy"/>
    <numFmt numFmtId="165" formatCode="\$#,##0.00"/>
    <numFmt numFmtId="166" formatCode="[$-409]mmmm"/>
    <numFmt numFmtId="167" formatCode="_(&quot;$&quot;* #,##0_);_(&quot;$&quot;* \(#,##0\);_(&quot;$&quot;* &quot;-&quot;??_);_(@_)"/>
    <numFmt numFmtId="168" formatCode="0.0%"/>
    <numFmt numFmtId="169" formatCode="&quot;$&quot;#,##0"/>
  </numFmts>
  <fonts count="17">
    <font>
      <sz val="11"/>
      <name val="Carlito"/>
    </font>
    <font>
      <b/>
      <sz val="11"/>
      <color rgb="FF1F4E78"/>
      <name val="Carlito"/>
    </font>
    <font>
      <b/>
      <sz val="11"/>
      <color rgb="FFFFFFFF"/>
      <name val="Carlito"/>
    </font>
    <font>
      <b/>
      <sz val="14"/>
      <color rgb="FFFFFFFF"/>
      <name val="Carlito"/>
    </font>
    <font>
      <sz val="11"/>
      <name val="Carlito"/>
    </font>
    <font>
      <sz val="8"/>
      <name val="Carlito"/>
    </font>
    <font>
      <sz val="11"/>
      <color theme="3" tint="9.9978637043366805E-2"/>
      <name val="Carlito"/>
    </font>
    <font>
      <b/>
      <sz val="24"/>
      <color theme="0" tint="-0.499984740745262"/>
      <name val="Carlito"/>
    </font>
    <font>
      <sz val="11"/>
      <name val="Calibri"/>
      <family val="2"/>
    </font>
    <font>
      <sz val="22"/>
      <color theme="3" tint="0.249977111117893"/>
      <name val="Calibri"/>
      <family val="2"/>
    </font>
    <font>
      <sz val="11"/>
      <color theme="0" tint="-0.499984740745262"/>
      <name val="Calibri"/>
      <family val="2"/>
    </font>
    <font>
      <b/>
      <sz val="11"/>
      <color theme="3" tint="9.9978637043366805E-2"/>
      <name val="Calibri"/>
      <family val="2"/>
    </font>
    <font>
      <b/>
      <sz val="14"/>
      <name val="Calibri"/>
      <family val="2"/>
      <scheme val="minor"/>
    </font>
    <font>
      <sz val="20"/>
      <color rgb="FF0070C0"/>
      <name val="Carlito"/>
    </font>
    <font>
      <b/>
      <sz val="14"/>
      <name val="Carlito"/>
    </font>
    <font>
      <b/>
      <sz val="12"/>
      <name val="Carlito"/>
    </font>
    <font>
      <b/>
      <sz val="11"/>
      <name val="Carlito"/>
    </font>
  </fonts>
  <fills count="6">
    <fill>
      <patternFill patternType="none"/>
    </fill>
    <fill>
      <patternFill patternType="gray125"/>
    </fill>
    <fill>
      <patternFill patternType="solid">
        <fgColor rgb="FF1F4E78"/>
      </patternFill>
    </fill>
    <fill>
      <patternFill patternType="solid">
        <fgColor rgb="FFD9EAF7"/>
      </patternFill>
    </fill>
    <fill>
      <patternFill patternType="solid">
        <fgColor rgb="FFFFEB9C"/>
        <bgColor indexed="64"/>
      </patternFill>
    </fill>
    <fill>
      <patternFill patternType="solid">
        <fgColor theme="2" tint="-9.9978637043366805E-2"/>
        <bgColor indexed="64"/>
      </patternFill>
    </fill>
  </fills>
  <borders count="18">
    <border>
      <left/>
      <right/>
      <top/>
      <bottom/>
      <diagonal/>
    </border>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2" tint="-0.249977111117893"/>
      </left>
      <right/>
      <top style="thin">
        <color theme="2" tint="-0.249977111117893"/>
      </top>
      <bottom/>
      <diagonal/>
    </border>
    <border>
      <left/>
      <right style="thin">
        <color theme="2" tint="-0.249977111117893"/>
      </right>
      <top style="thin">
        <color theme="2" tint="-0.249977111117893"/>
      </top>
      <bottom/>
      <diagonal/>
    </border>
    <border>
      <left style="thin">
        <color theme="2" tint="-0.249977111117893"/>
      </left>
      <right/>
      <top/>
      <bottom style="thin">
        <color theme="2" tint="-0.249977111117893"/>
      </bottom>
      <diagonal/>
    </border>
    <border>
      <left/>
      <right style="thin">
        <color theme="2" tint="-0.249977111117893"/>
      </right>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right/>
      <top style="thin">
        <color theme="2" tint="-0.249977111117893"/>
      </top>
      <bottom style="thin">
        <color theme="2" tint="-0.249977111117893"/>
      </bottom>
      <diagonal/>
    </border>
    <border>
      <left/>
      <right style="thin">
        <color theme="2" tint="-0.249977111117893"/>
      </right>
      <top style="thin">
        <color theme="2" tint="-0.249977111117893"/>
      </top>
      <bottom style="thin">
        <color theme="2" tint="-0.249977111117893"/>
      </bottom>
      <diagonal/>
    </border>
    <border>
      <left style="thin">
        <color theme="2" tint="-0.249977111117893"/>
      </left>
      <right/>
      <top/>
      <bottom/>
      <diagonal/>
    </border>
  </borders>
  <cellStyleXfs count="3">
    <xf numFmtId="0" fontId="0" fillId="0" borderId="0"/>
    <xf numFmtId="9" fontId="4" fillId="0" borderId="0" applyFont="0" applyFill="0" applyBorder="0" applyAlignment="0" applyProtection="0"/>
    <xf numFmtId="44" fontId="4" fillId="0" borderId="0" applyFont="0" applyFill="0" applyBorder="0" applyAlignment="0" applyProtection="0"/>
  </cellStyleXfs>
  <cellXfs count="75">
    <xf numFmtId="0" fontId="0" fillId="0" borderId="0" xfId="0"/>
    <xf numFmtId="0" fontId="0" fillId="0" borderId="0" xfId="0" applyNumberFormat="1" applyFont="1" applyFill="1" applyBorder="1" applyAlignment="1">
      <alignment wrapText="1"/>
    </xf>
    <xf numFmtId="0" fontId="2" fillId="2" borderId="0" xfId="0" applyNumberFormat="1" applyFont="1" applyFill="1" applyBorder="1" applyAlignment="1">
      <alignment horizontal="center" vertical="center"/>
    </xf>
    <xf numFmtId="0" fontId="2" fillId="2" borderId="1" xfId="0" applyNumberFormat="1" applyFont="1" applyFill="1" applyBorder="1" applyAlignment="1">
      <alignment horizontal="center" vertical="center"/>
    </xf>
    <xf numFmtId="164" fontId="0" fillId="0" borderId="0" xfId="0" applyNumberFormat="1" applyFont="1" applyFill="1" applyBorder="1"/>
    <xf numFmtId="165" fontId="0" fillId="0" borderId="0" xfId="0" applyNumberFormat="1" applyFont="1" applyFill="1" applyBorder="1"/>
    <xf numFmtId="165" fontId="0" fillId="0" borderId="1" xfId="0" applyNumberFormat="1" applyFont="1" applyFill="1" applyBorder="1"/>
    <xf numFmtId="0" fontId="2" fillId="2" borderId="0" xfId="0" applyNumberFormat="1" applyFont="1" applyFill="1" applyBorder="1" applyAlignment="1">
      <alignment wrapText="1"/>
    </xf>
    <xf numFmtId="0" fontId="1" fillId="3" borderId="0" xfId="0" applyNumberFormat="1" applyFont="1" applyFill="1" applyBorder="1" applyAlignment="1">
      <alignment wrapText="1"/>
    </xf>
    <xf numFmtId="1" fontId="2" fillId="2" borderId="1" xfId="0" applyNumberFormat="1" applyFont="1" applyFill="1" applyBorder="1" applyAlignment="1">
      <alignment horizontal="center" vertical="center"/>
    </xf>
    <xf numFmtId="1" fontId="0" fillId="0" borderId="1" xfId="0" applyNumberFormat="1" applyFont="1" applyFill="1" applyBorder="1" applyAlignment="1">
      <alignment horizontal="center"/>
    </xf>
    <xf numFmtId="1" fontId="0" fillId="0" borderId="0" xfId="0" applyNumberFormat="1" applyAlignment="1">
      <alignment horizontal="center"/>
    </xf>
    <xf numFmtId="9" fontId="2" fillId="2" borderId="1" xfId="1" applyFont="1" applyFill="1" applyBorder="1" applyAlignment="1">
      <alignment horizontal="center" vertical="center"/>
    </xf>
    <xf numFmtId="9" fontId="0" fillId="0" borderId="1" xfId="1" applyFont="1" applyFill="1" applyBorder="1"/>
    <xf numFmtId="9" fontId="0" fillId="0" borderId="0" xfId="1" applyFont="1"/>
    <xf numFmtId="0" fontId="0" fillId="0" borderId="0" xfId="0" applyNumberFormat="1"/>
    <xf numFmtId="2" fontId="0" fillId="0" borderId="0" xfId="0" applyNumberFormat="1"/>
    <xf numFmtId="166" fontId="0" fillId="0" borderId="1" xfId="0" applyNumberFormat="1" applyFont="1"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44" fontId="0" fillId="0" borderId="0" xfId="2" applyFont="1"/>
    <xf numFmtId="44" fontId="0" fillId="0" borderId="0" xfId="0" applyNumberFormat="1"/>
    <xf numFmtId="167" fontId="0" fillId="0" borderId="0" xfId="0" applyNumberFormat="1"/>
    <xf numFmtId="1" fontId="0" fillId="0" borderId="0" xfId="0" applyNumberFormat="1"/>
    <xf numFmtId="167" fontId="0" fillId="0" borderId="0" xfId="2" applyNumberFormat="1" applyFont="1"/>
    <xf numFmtId="0" fontId="0" fillId="0" borderId="0" xfId="0" applyAlignment="1">
      <alignment vertical="top"/>
    </xf>
    <xf numFmtId="0" fontId="0" fillId="0" borderId="1" xfId="0" applyBorder="1" applyAlignment="1">
      <alignment vertical="top"/>
    </xf>
    <xf numFmtId="0" fontId="0" fillId="0" borderId="1" xfId="0" applyBorder="1"/>
    <xf numFmtId="168" fontId="0" fillId="0" borderId="0" xfId="0" applyNumberFormat="1"/>
    <xf numFmtId="0" fontId="0" fillId="0" borderId="5" xfId="0" applyBorder="1" applyAlignment="1">
      <alignment vertical="top"/>
    </xf>
    <xf numFmtId="0" fontId="0" fillId="0" borderId="6" xfId="0" applyBorder="1" applyAlignment="1">
      <alignment vertical="top"/>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3" xfId="0" applyBorder="1" applyAlignment="1">
      <alignment vertical="top"/>
    </xf>
    <xf numFmtId="0" fontId="0" fillId="0" borderId="4" xfId="0" applyBorder="1" applyAlignment="1">
      <alignment vertical="top"/>
    </xf>
    <xf numFmtId="169" fontId="0" fillId="0" borderId="0" xfId="0" applyNumberFormat="1"/>
    <xf numFmtId="0" fontId="6" fillId="0" borderId="0" xfId="0" applyFont="1" applyFill="1"/>
    <xf numFmtId="0" fontId="0" fillId="0" borderId="0" xfId="0" applyFill="1"/>
    <xf numFmtId="0" fontId="10" fillId="0" borderId="0" xfId="0" applyFont="1" applyAlignment="1">
      <alignment horizontal="center"/>
    </xf>
    <xf numFmtId="0" fontId="12" fillId="0" borderId="0" xfId="0" applyFont="1" applyAlignment="1">
      <alignment horizontal="center" vertical="center"/>
    </xf>
    <xf numFmtId="0" fontId="9" fillId="0" borderId="1" xfId="0" applyFont="1" applyBorder="1" applyAlignment="1">
      <alignment horizontal="center"/>
    </xf>
    <xf numFmtId="0" fontId="8" fillId="0" borderId="2" xfId="0" applyFont="1" applyBorder="1" applyAlignment="1">
      <alignment horizontal="center" vertical="top"/>
    </xf>
    <xf numFmtId="0" fontId="8" fillId="0" borderId="3" xfId="0" applyFont="1" applyBorder="1" applyAlignment="1">
      <alignment horizontal="center" vertical="top"/>
    </xf>
    <xf numFmtId="0" fontId="8" fillId="0" borderId="4" xfId="0" applyFont="1" applyBorder="1" applyAlignment="1">
      <alignment horizontal="center" vertical="top"/>
    </xf>
    <xf numFmtId="0" fontId="11" fillId="0" borderId="10" xfId="0" applyFont="1" applyFill="1" applyBorder="1" applyAlignment="1">
      <alignment horizontal="center" vertical="top"/>
    </xf>
    <xf numFmtId="0" fontId="11" fillId="0" borderId="11" xfId="0" applyFont="1" applyFill="1" applyBorder="1" applyAlignment="1">
      <alignment horizontal="center" vertical="top"/>
    </xf>
    <xf numFmtId="167" fontId="7" fillId="0" borderId="12" xfId="2" applyNumberFormat="1" applyFont="1" applyFill="1" applyBorder="1" applyAlignment="1">
      <alignment horizontal="center" vertical="center"/>
    </xf>
    <xf numFmtId="167" fontId="7" fillId="0" borderId="13" xfId="2" applyNumberFormat="1" applyFont="1" applyFill="1" applyBorder="1" applyAlignment="1">
      <alignment horizontal="center" vertical="center"/>
    </xf>
    <xf numFmtId="168" fontId="7" fillId="0" borderId="12" xfId="0" applyNumberFormat="1" applyFont="1" applyFill="1" applyBorder="1" applyAlignment="1">
      <alignment horizontal="center" vertical="center"/>
    </xf>
    <xf numFmtId="168" fontId="7" fillId="0" borderId="13" xfId="0" applyNumberFormat="1" applyFont="1" applyFill="1" applyBorder="1" applyAlignment="1">
      <alignment horizontal="center" vertical="center"/>
    </xf>
    <xf numFmtId="0" fontId="3" fillId="2" borderId="0" xfId="0" applyNumberFormat="1" applyFont="1" applyFill="1" applyBorder="1" applyAlignment="1">
      <alignment horizontal="center" wrapText="1"/>
    </xf>
    <xf numFmtId="0" fontId="0" fillId="4" borderId="0" xfId="0" applyFill="1"/>
    <xf numFmtId="164" fontId="0" fillId="4" borderId="0" xfId="0" applyNumberFormat="1" applyFont="1" applyFill="1" applyBorder="1"/>
    <xf numFmtId="166" fontId="0" fillId="4" borderId="1" xfId="0" applyNumberFormat="1" applyFont="1" applyFill="1" applyBorder="1"/>
    <xf numFmtId="1" fontId="0" fillId="4" borderId="1" xfId="0" applyNumberFormat="1" applyFont="1" applyFill="1" applyBorder="1" applyAlignment="1">
      <alignment horizontal="center"/>
    </xf>
    <xf numFmtId="165" fontId="0" fillId="4" borderId="0" xfId="0" applyNumberFormat="1" applyFont="1" applyFill="1" applyBorder="1"/>
    <xf numFmtId="165" fontId="0" fillId="4" borderId="1" xfId="0" applyNumberFormat="1" applyFont="1" applyFill="1" applyBorder="1"/>
    <xf numFmtId="9" fontId="0" fillId="4" borderId="1" xfId="1" applyFont="1" applyFill="1" applyBorder="1"/>
    <xf numFmtId="0" fontId="0" fillId="0" borderId="0" xfId="0" applyAlignment="1">
      <alignment horizontal="center"/>
    </xf>
    <xf numFmtId="0" fontId="0" fillId="0" borderId="0" xfId="0" applyAlignment="1">
      <alignment horizontal="left" wrapText="1"/>
    </xf>
    <xf numFmtId="0" fontId="0" fillId="0" borderId="0" xfId="0" applyAlignment="1">
      <alignment wrapText="1"/>
    </xf>
    <xf numFmtId="0" fontId="13" fillId="0" borderId="0" xfId="0" applyFont="1" applyAlignment="1">
      <alignment horizontal="center"/>
    </xf>
    <xf numFmtId="0" fontId="14" fillId="5" borderId="14" xfId="0" applyFont="1" applyFill="1" applyBorder="1" applyAlignment="1">
      <alignment horizontal="center"/>
    </xf>
    <xf numFmtId="0" fontId="14" fillId="5" borderId="15" xfId="0" applyFont="1" applyFill="1" applyBorder="1" applyAlignment="1">
      <alignment horizontal="center"/>
    </xf>
    <xf numFmtId="0" fontId="14" fillId="5" borderId="16" xfId="0" applyFont="1" applyFill="1" applyBorder="1" applyAlignment="1">
      <alignment horizontal="center"/>
    </xf>
    <xf numFmtId="0" fontId="14" fillId="0" borderId="0" xfId="0" applyFont="1"/>
    <xf numFmtId="0" fontId="0" fillId="0" borderId="0" xfId="0" applyAlignment="1">
      <alignment horizontal="left" vertical="top" wrapText="1"/>
    </xf>
    <xf numFmtId="0" fontId="15" fillId="5" borderId="17" xfId="0" applyFont="1" applyFill="1" applyBorder="1" applyAlignment="1">
      <alignment horizontal="left" wrapText="1"/>
    </xf>
    <xf numFmtId="0" fontId="15" fillId="5" borderId="1" xfId="0" applyFont="1" applyFill="1" applyBorder="1" applyAlignment="1">
      <alignment horizontal="left" wrapText="1"/>
    </xf>
    <xf numFmtId="0" fontId="16" fillId="0" borderId="0" xfId="0" applyFont="1"/>
    <xf numFmtId="0" fontId="0" fillId="0" borderId="0" xfId="0" applyAlignment="1">
      <alignment horizontal="left" vertical="center" wrapText="1"/>
    </xf>
  </cellXfs>
  <cellStyles count="3">
    <cellStyle name="Moneda" xfId="2" builtinId="4"/>
    <cellStyle name="Normal" xfId="0" builtinId="0"/>
    <cellStyle name="Porcentaje" xfId="1" builtinId="5"/>
  </cellStyles>
  <dxfs count="60">
    <dxf>
      <font>
        <b/>
        <color rgb="FFB3261E"/>
      </font>
      <fill>
        <patternFill patternType="solid">
          <bgColor rgb="FFFCE8E6"/>
        </patternFill>
      </fill>
    </dxf>
    <dxf>
      <numFmt numFmtId="169" formatCode="&quot;$&quot;#,##0"/>
    </dxf>
    <dxf>
      <numFmt numFmtId="167" formatCode="_(&quot;$&quot;* #,##0_);_(&quot;$&quot;* \(#,##0\);_(&quot;$&quot;* &quot;-&quot;??_);_(@_)"/>
    </dxf>
    <dxf>
      <numFmt numFmtId="169" formatCode="&quot;$&quot;#,##0"/>
    </dxf>
    <dxf>
      <numFmt numFmtId="167" formatCode="_(&quot;$&quot;* #,##0_);_(&quot;$&quot;* \(#,##0\);_(&quot;$&quot;* &quot;-&quot;??_);_(@_)"/>
    </dxf>
    <dxf>
      <numFmt numFmtId="167" formatCode="_(&quot;$&quot;* #,##0_);_(&quot;$&quot;* \(#,##0\);_(&quot;$&quot;* &quot;-&quot;??_);_(@_)"/>
    </dxf>
    <dxf>
      <numFmt numFmtId="167" formatCode="_(&quot;$&quot;* #,##0_);_(&quot;$&quot;* \(#,##0\);_(&quot;$&quot;* &quot;-&quot;??_);_(@_)"/>
    </dxf>
    <dxf>
      <numFmt numFmtId="167" formatCode="_(&quot;$&quot;* #,##0_);_(&quot;$&quot;* \(#,##0\);_(&quot;$&quot;* &quot;-&quot;??_);_(@_)"/>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auto="1"/>
        <name val="Carlito"/>
        <scheme val="none"/>
      </font>
      <numFmt numFmtId="165" formatCode="\$#,##0.00"/>
      <fill>
        <patternFill patternType="none">
          <fgColor indexed="64"/>
          <bgColor indexed="65"/>
        </patternFill>
      </fill>
    </dxf>
    <dxf>
      <font>
        <b val="0"/>
        <i val="0"/>
        <strike val="0"/>
        <condense val="0"/>
        <extend val="0"/>
        <outline val="0"/>
        <shadow val="0"/>
        <u val="none"/>
        <vertAlign val="baseline"/>
        <sz val="11"/>
        <color auto="1"/>
        <name val="Carlito"/>
        <scheme val="none"/>
      </font>
      <fill>
        <patternFill patternType="none">
          <fgColor indexed="64"/>
          <bgColor indexed="65"/>
        </patternFill>
      </fill>
    </dxf>
    <dxf>
      <font>
        <b val="0"/>
        <i val="0"/>
        <strike val="0"/>
        <condense val="0"/>
        <extend val="0"/>
        <outline val="0"/>
        <shadow val="0"/>
        <u val="none"/>
        <vertAlign val="baseline"/>
        <sz val="11"/>
        <color auto="1"/>
        <name val="Carlito"/>
        <scheme val="none"/>
      </font>
      <numFmt numFmtId="165" formatCode="\$#,##0.00"/>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auto="1"/>
        <name val="Carlito"/>
        <scheme val="none"/>
      </font>
      <numFmt numFmtId="165" formatCode="\$#,##0.0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auto="1"/>
        <name val="Carlito"/>
        <scheme val="none"/>
      </font>
      <numFmt numFmtId="1" formatCode="0"/>
      <fill>
        <patternFill patternType="none">
          <fgColor indexed="64"/>
          <bgColor indexed="65"/>
        </patternFill>
      </fill>
      <alignment horizontal="center" textRotation="0" wrapText="0" indent="0" justifyLastLine="0" shrinkToFit="0" readingOrder="0"/>
    </dxf>
    <dxf>
      <font>
        <b val="0"/>
        <i val="0"/>
        <strike val="0"/>
        <condense val="0"/>
        <extend val="0"/>
        <outline val="0"/>
        <shadow val="0"/>
        <u val="none"/>
        <vertAlign val="baseline"/>
        <sz val="11"/>
        <color auto="1"/>
        <name val="Carlito"/>
        <scheme val="none"/>
      </font>
      <numFmt numFmtId="1" formatCode="0"/>
      <fill>
        <patternFill patternType="none">
          <fgColor indexed="64"/>
          <bgColor indexed="65"/>
        </patternFill>
      </fill>
      <alignment horizontal="center" textRotation="0" wrapText="0" indent="0" justifyLastLine="0" shrinkToFit="0" readingOrder="0"/>
    </dxf>
    <dxf>
      <font>
        <b val="0"/>
        <i val="0"/>
        <strike val="0"/>
        <condense val="0"/>
        <extend val="0"/>
        <outline val="0"/>
        <shadow val="0"/>
        <u val="none"/>
        <vertAlign val="baseline"/>
        <sz val="11"/>
        <color auto="1"/>
        <name val="Carlito"/>
        <scheme val="none"/>
      </font>
      <numFmt numFmtId="1" formatCode="0"/>
      <fill>
        <patternFill patternType="none">
          <fgColor indexed="64"/>
          <bgColor indexed="65"/>
        </patternFill>
      </fill>
      <alignment horizontal="center" textRotation="0" wrapText="0" indent="0" justifyLastLine="0" shrinkToFit="0" readingOrder="0"/>
    </dxf>
    <dxf>
      <font>
        <b val="0"/>
        <i val="0"/>
        <strike val="0"/>
        <condense val="0"/>
        <extend val="0"/>
        <outline val="0"/>
        <shadow val="0"/>
        <u val="none"/>
        <vertAlign val="baseline"/>
        <sz val="11"/>
        <color auto="1"/>
        <name val="Carlito"/>
        <scheme val="none"/>
      </font>
      <numFmt numFmtId="166" formatCode="[$-409]mmmm"/>
      <fill>
        <patternFill patternType="none">
          <fgColor indexed="64"/>
          <bgColor indexed="65"/>
        </patternFill>
      </fill>
    </dxf>
    <dxf>
      <font>
        <b val="0"/>
        <i val="0"/>
        <strike val="0"/>
        <condense val="0"/>
        <extend val="0"/>
        <outline val="0"/>
        <shadow val="0"/>
        <u val="none"/>
        <vertAlign val="baseline"/>
        <sz val="11"/>
        <color auto="1"/>
        <name val="Carlito"/>
        <scheme val="none"/>
      </font>
      <numFmt numFmtId="19" formatCode="m/d/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7" formatCode="_(&quot;$&quot;* #,##0_);_(&quot;$&quot;* \(#,##0\);_(&quot;$&quot;* &quot;-&quot;??_);_(@_)"/>
    </dxf>
    <dxf>
      <numFmt numFmtId="167" formatCode="_(&quot;$&quot;* #,##0_);_(&quot;$&quot;* \(#,##0\);_(&quot;$&quot;* &quot;-&quot;??_);_(@_)"/>
    </dxf>
    <dxf>
      <numFmt numFmtId="167" formatCode="_(&quot;$&quot;* #,##0_);_(&quot;$&quot;* \(#,##0\);_(&quot;$&quot;* &quot;-&quot;??_);_(@_)"/>
    </dxf>
    <dxf>
      <numFmt numFmtId="167" formatCode="_(&quot;$&quot;* #,##0_);_(&quot;$&quot;* \(#,##0\);_(&quot;$&quot;* &quot;-&quot;??_);_(@_)"/>
    </dxf>
    <dxf>
      <numFmt numFmtId="169" formatCode="&quot;$&quot;#,##0"/>
    </dxf>
    <dxf>
      <numFmt numFmtId="167" formatCode="_(&quot;$&quot;* #,##0_);_(&quot;$&quot;* \(#,##0\);_(&quot;$&quot;* &quot;-&quot;??_);_(@_)"/>
    </dxf>
    <dxf>
      <numFmt numFmtId="169" formatCode="&quot;$&quot;#,##0"/>
    </dxf>
    <dxf>
      <numFmt numFmtId="167" formatCode="_(&quot;$&quot;* #,##0_);_(&quot;$&quot;* \(#,##0\);_(&quot;$&quot;* &quot;-&quot;??_);_(@_)"/>
    </dxf>
    <dxf>
      <numFmt numFmtId="167" formatCode="_(&quot;$&quot;* #,##0_);_(&quot;$&quot;* \(#,##0\);_(&quot;$&quot;* &quot;-&quot;??_);_(@_)"/>
    </dxf>
    <dxf>
      <numFmt numFmtId="167" formatCode="_(&quot;$&quot;* #,##0_);_(&quot;$&quot;* \(#,##0\);_(&quot;$&quot;* &quot;-&quot;??_);_(@_)"/>
    </dxf>
    <dxf>
      <numFmt numFmtId="167" formatCode="_(&quot;$&quot;* #,##0_);_(&quot;$&quot;* \(#,##0\);_(&quot;$&quot;* &quot;-&quot;??_);_(@_)"/>
    </dxf>
    <dxf>
      <numFmt numFmtId="167" formatCode="_(&quot;$&quot;* #,##0_);_(&quot;$&quot;* \(#,##0\);_(&quot;$&quot;* &quot;-&quot;??_);_(@_)"/>
    </dxf>
    <dxf>
      <numFmt numFmtId="167" formatCode="_(&quot;$&quot;* #,##0_);_(&quot;$&quot;* \(#,##0\);_(&quot;$&quot;* &quot;-&quot;??_);_(@_)"/>
    </dxf>
    <dxf>
      <numFmt numFmtId="167" formatCode="_(&quot;$&quot;* #,##0_);_(&quot;$&quot;* \(#,##0\);_(&quot;$&quot;* &quot;-&quot;??_);_(@_)"/>
    </dxf>
    <dxf>
      <numFmt numFmtId="167" formatCode="_(&quot;$&quot;* #,##0_);_(&quot;$&quot;* \(#,##0\);_(&quot;$&quot;* &quot;-&quot;??_);_(@_)"/>
    </dxf>
    <dxf>
      <numFmt numFmtId="1" formatCode="0"/>
    </dxf>
    <dxf>
      <numFmt numFmtId="34" formatCode="_(&quot;$&quot;* #,##0.00_);_(&quot;$&quot;* \(#,##0.00\);_(&quot;$&quot;* &quot;-&quot;??_);_(@_)"/>
    </dxf>
  </dxfs>
  <tableStyles count="0" defaultTableStyle="TableStyleMedium2" defaultPivotStyle="PivotStyleLight16"/>
  <colors>
    <mruColors>
      <color rgb="FF4C4C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[Executive_Travel_Expense_Dashboard_Portfolio.xlsm]Pivot_Analysis!TablaDinámica4</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Airlines by Spend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Pivot_Analysis!$B$50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Pivot_Analysis!$A$51:$A$59</c:f>
              <c:strCache>
                <c:ptCount val="8"/>
                <c:pt idx="0">
                  <c:v>American Airlines</c:v>
                </c:pt>
                <c:pt idx="1">
                  <c:v>United</c:v>
                </c:pt>
                <c:pt idx="2">
                  <c:v>Delta</c:v>
                </c:pt>
                <c:pt idx="3">
                  <c:v>JetBlue</c:v>
                </c:pt>
                <c:pt idx="4">
                  <c:v>British Airways</c:v>
                </c:pt>
                <c:pt idx="5">
                  <c:v>LATAM</c:v>
                </c:pt>
                <c:pt idx="6">
                  <c:v>Southwest</c:v>
                </c:pt>
                <c:pt idx="7">
                  <c:v>Air Canada</c:v>
                </c:pt>
              </c:strCache>
            </c:strRef>
          </c:cat>
          <c:val>
            <c:numRef>
              <c:f>Pivot_Analysis!$B$51:$B$59</c:f>
              <c:numCache>
                <c:formatCode>_("$"* #,##0_);_("$"* \(#,##0\);_("$"* "-"??_);_(@_)</c:formatCode>
                <c:ptCount val="8"/>
                <c:pt idx="0">
                  <c:v>68517.079999999987</c:v>
                </c:pt>
                <c:pt idx="1">
                  <c:v>65362.07</c:v>
                </c:pt>
                <c:pt idx="2">
                  <c:v>48174.380000000005</c:v>
                </c:pt>
                <c:pt idx="3">
                  <c:v>41133.279999999999</c:v>
                </c:pt>
                <c:pt idx="4">
                  <c:v>38440.600000000006</c:v>
                </c:pt>
                <c:pt idx="5">
                  <c:v>34366.42</c:v>
                </c:pt>
                <c:pt idx="6">
                  <c:v>31698.739999999998</c:v>
                </c:pt>
                <c:pt idx="7">
                  <c:v>21752.43</c:v>
                </c:pt>
              </c:numCache>
            </c:numRef>
          </c:val>
          <c:extLst>
            <c:ext xmlns:c16="http://schemas.microsoft.com/office/drawing/2014/chart" uri="{C3380CC4-5D6E-409C-BE32-E72D297353CC}">
              <c16:uniqueId val="{00000000-BE3F-4295-A21C-29F1B918E0A3}"/>
            </c:ext>
          </c:extLst>
        </c:ser>
        <c:dLbls>
          <c:dLblPos val="outEnd"/>
          <c:showLegendKey val="0"/>
          <c:showVal val="1"/>
          <c:showCatName val="0"/>
          <c:showSerName val="0"/>
          <c:showPercent val="0"/>
          <c:showBubbleSize val="0"/>
        </c:dLbls>
        <c:gapWidth val="219"/>
        <c:overlap val="-27"/>
        <c:axId val="393741983"/>
        <c:axId val="393742399"/>
      </c:barChart>
      <c:catAx>
        <c:axId val="393741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742399"/>
        <c:crosses val="autoZero"/>
        <c:auto val="1"/>
        <c:lblAlgn val="ctr"/>
        <c:lblOffset val="100"/>
        <c:noMultiLvlLbl val="0"/>
      </c:catAx>
      <c:valAx>
        <c:axId val="39374239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7419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[Executive_Travel_Expense_Dashboard_Portfolio.xlsm]Pivot_Analysis!TablaDinámica5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Hotels</a:t>
            </a:r>
            <a:r>
              <a:rPr lang="en-US" baseline="0"/>
              <a:t> by Spend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Pivot_Analysis!$B$63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Pivot_Analysis!$A$64:$A$72</c:f>
              <c:strCache>
                <c:ptCount val="8"/>
                <c:pt idx="0">
                  <c:v>Sheraton</c:v>
                </c:pt>
                <c:pt idx="1">
                  <c:v>Courtyard</c:v>
                </c:pt>
                <c:pt idx="2">
                  <c:v>Westin</c:v>
                </c:pt>
                <c:pt idx="3">
                  <c:v>Marriott</c:v>
                </c:pt>
                <c:pt idx="4">
                  <c:v>Hyatt</c:v>
                </c:pt>
                <c:pt idx="5">
                  <c:v>Hilton</c:v>
                </c:pt>
                <c:pt idx="6">
                  <c:v>Conrad</c:v>
                </c:pt>
                <c:pt idx="7">
                  <c:v>Embassy Suites</c:v>
                </c:pt>
              </c:strCache>
            </c:strRef>
          </c:cat>
          <c:val>
            <c:numRef>
              <c:f>Pivot_Analysis!$B$64:$B$72</c:f>
              <c:numCache>
                <c:formatCode>_("$"* #,##0_);_("$"* \(#,##0\);_("$"* "-"??_);_(@_)</c:formatCode>
                <c:ptCount val="8"/>
                <c:pt idx="0">
                  <c:v>57373.630000000005</c:v>
                </c:pt>
                <c:pt idx="1">
                  <c:v>55832.869999999995</c:v>
                </c:pt>
                <c:pt idx="2">
                  <c:v>51695.59</c:v>
                </c:pt>
                <c:pt idx="3">
                  <c:v>50808.399999999994</c:v>
                </c:pt>
                <c:pt idx="4">
                  <c:v>42241.42</c:v>
                </c:pt>
                <c:pt idx="5">
                  <c:v>38538.530000000006</c:v>
                </c:pt>
                <c:pt idx="6">
                  <c:v>31996.140000000003</c:v>
                </c:pt>
                <c:pt idx="7">
                  <c:v>20958.420000000002</c:v>
                </c:pt>
              </c:numCache>
            </c:numRef>
          </c:val>
          <c:extLst>
            <c:ext xmlns:c16="http://schemas.microsoft.com/office/drawing/2014/chart" uri="{C3380CC4-5D6E-409C-BE32-E72D297353CC}">
              <c16:uniqueId val="{00000000-0136-47BB-8190-C6854D52B112}"/>
            </c:ext>
          </c:extLst>
        </c:ser>
        <c:dLbls>
          <c:dLblPos val="outEnd"/>
          <c:showLegendKey val="0"/>
          <c:showVal val="1"/>
          <c:showCatName val="0"/>
          <c:showSerName val="0"/>
          <c:showPercent val="0"/>
          <c:showBubbleSize val="0"/>
        </c:dLbls>
        <c:gapWidth val="219"/>
        <c:overlap val="-27"/>
        <c:axId val="909660351"/>
        <c:axId val="909661183"/>
      </c:barChart>
      <c:catAx>
        <c:axId val="909660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661183"/>
        <c:crosses val="autoZero"/>
        <c:auto val="1"/>
        <c:lblAlgn val="ctr"/>
        <c:lblOffset val="100"/>
        <c:noMultiLvlLbl val="0"/>
      </c:catAx>
      <c:valAx>
        <c:axId val="90966118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660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[Executive_Travel_Expense_Dashboard_Portfolio.xlsm]Pivot_Analysis!TablaDinámica2</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4.5497112860893038E-3"/>
              <c:y val="-7.944677318568774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97406372590523"/>
          <c:y val="6.1202185792349727E-2"/>
          <c:w val="0.82669544290934127"/>
          <c:h val="0.85049937610257731"/>
        </c:manualLayout>
      </c:layout>
      <c:barChart>
        <c:barDir val="bar"/>
        <c:grouping val="clustered"/>
        <c:varyColors val="0"/>
        <c:ser>
          <c:idx val="0"/>
          <c:order val="0"/>
          <c:tx>
            <c:strRef>
              <c:f>Pivot_Analysis!$B$14</c:f>
              <c:strCache>
                <c:ptCount val="1"/>
                <c:pt idx="0">
                  <c:v>Total</c:v>
                </c:pt>
              </c:strCache>
            </c:strRef>
          </c:tx>
          <c:spPr>
            <a:solidFill>
              <a:schemeClr val="accent1"/>
            </a:solidFill>
            <a:ln>
              <a:noFill/>
            </a:ln>
            <a:effectLst/>
          </c:spPr>
          <c:invertIfNegative val="0"/>
          <c:dPt>
            <c:idx val="5"/>
            <c:invertIfNegative val="0"/>
            <c:bubble3D val="0"/>
            <c:spPr>
              <a:solidFill>
                <a:schemeClr val="accent1"/>
              </a:solidFill>
              <a:ln>
                <a:noFill/>
              </a:ln>
              <a:effectLst/>
            </c:spPr>
            <c:extLst>
              <c:ext xmlns:c16="http://schemas.microsoft.com/office/drawing/2014/chart" uri="{C3380CC4-5D6E-409C-BE32-E72D297353CC}">
                <c16:uniqueId val="{00000002-4CB8-4291-ABAC-2179087BAFF5}"/>
              </c:ext>
            </c:extLst>
          </c:dPt>
          <c:dLbls>
            <c:dLbl>
              <c:idx val="5"/>
              <c:layout>
                <c:manualLayout>
                  <c:x val="4.5497112860893038E-3"/>
                  <c:y val="-7.944677318568774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CB8-4291-ABAC-2179087BAF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Pivot_Analysis!$A$15:$A$23</c:f>
              <c:strCache>
                <c:ptCount val="8"/>
                <c:pt idx="0">
                  <c:v>Finance</c:v>
                </c:pt>
                <c:pt idx="1">
                  <c:v>Executive Office</c:v>
                </c:pt>
                <c:pt idx="2">
                  <c:v>Product</c:v>
                </c:pt>
                <c:pt idx="3">
                  <c:v>HR</c:v>
                </c:pt>
                <c:pt idx="4">
                  <c:v>Operations</c:v>
                </c:pt>
                <c:pt idx="5">
                  <c:v>Marketing</c:v>
                </c:pt>
                <c:pt idx="6">
                  <c:v>Sales</c:v>
                </c:pt>
                <c:pt idx="7">
                  <c:v>Technology</c:v>
                </c:pt>
              </c:strCache>
            </c:strRef>
          </c:cat>
          <c:val>
            <c:numRef>
              <c:f>Pivot_Analysis!$B$15:$B$23</c:f>
              <c:numCache>
                <c:formatCode>_("$"* #,##0_);_("$"* \(#,##0\);_("$"* "-"??_);_(@_)</c:formatCode>
                <c:ptCount val="8"/>
                <c:pt idx="0">
                  <c:v>75661.440000000002</c:v>
                </c:pt>
                <c:pt idx="1">
                  <c:v>62606.249999999993</c:v>
                </c:pt>
                <c:pt idx="2">
                  <c:v>58960.579999999994</c:v>
                </c:pt>
                <c:pt idx="3">
                  <c:v>52222.86</c:v>
                </c:pt>
                <c:pt idx="4">
                  <c:v>38509.949999999997</c:v>
                </c:pt>
                <c:pt idx="5">
                  <c:v>37097.160000000003</c:v>
                </c:pt>
                <c:pt idx="6">
                  <c:v>15754.52</c:v>
                </c:pt>
                <c:pt idx="7">
                  <c:v>8632.24</c:v>
                </c:pt>
              </c:numCache>
            </c:numRef>
          </c:val>
          <c:extLst>
            <c:ext xmlns:c16="http://schemas.microsoft.com/office/drawing/2014/chart" uri="{C3380CC4-5D6E-409C-BE32-E72D297353CC}">
              <c16:uniqueId val="{00000000-4CB8-4291-ABAC-2179087BAFF5}"/>
            </c:ext>
          </c:extLst>
        </c:ser>
        <c:dLbls>
          <c:dLblPos val="outEnd"/>
          <c:showLegendKey val="0"/>
          <c:showVal val="1"/>
          <c:showCatName val="0"/>
          <c:showSerName val="0"/>
          <c:showPercent val="0"/>
          <c:showBubbleSize val="0"/>
        </c:dLbls>
        <c:gapWidth val="219"/>
        <c:axId val="704709711"/>
        <c:axId val="704712623"/>
      </c:barChart>
      <c:catAx>
        <c:axId val="70470971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712623"/>
        <c:crosses val="autoZero"/>
        <c:auto val="1"/>
        <c:lblAlgn val="ctr"/>
        <c:lblOffset val="100"/>
        <c:noMultiLvlLbl val="0"/>
      </c:catAx>
      <c:valAx>
        <c:axId val="704712623"/>
        <c:scaling>
          <c:orientation val="minMax"/>
        </c:scaling>
        <c:delete val="0"/>
        <c:axPos val="t"/>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709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[Executive_Travel_Expense_Dashboard_Portfolio.xlsm]Pivot_Analysis!TablaDinámica3</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Pivot_Analysis!$B$27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Pivot_Analysis!$A$28:$A$38</c:f>
              <c:strCache>
                <c:ptCount val="10"/>
                <c:pt idx="0">
                  <c:v>São Paulo, Brazil</c:v>
                </c:pt>
                <c:pt idx="1">
                  <c:v>London, UK</c:v>
                </c:pt>
                <c:pt idx="2">
                  <c:v>Madrid, Spain</c:v>
                </c:pt>
                <c:pt idx="3">
                  <c:v>Lima, Peru</c:v>
                </c:pt>
                <c:pt idx="4">
                  <c:v>Mexico City, Mexico</c:v>
                </c:pt>
                <c:pt idx="5">
                  <c:v>New York, NY</c:v>
                </c:pt>
                <c:pt idx="6">
                  <c:v>San Francisco, CA</c:v>
                </c:pt>
                <c:pt idx="7">
                  <c:v>Toronto, Canada</c:v>
                </c:pt>
                <c:pt idx="8">
                  <c:v>Washington, DC</c:v>
                </c:pt>
                <c:pt idx="9">
                  <c:v>Boston, MA</c:v>
                </c:pt>
              </c:strCache>
            </c:strRef>
          </c:cat>
          <c:val>
            <c:numRef>
              <c:f>Pivot_Analysis!$B$28:$B$38</c:f>
              <c:numCache>
                <c:formatCode>_("$"* #,##0_);_("$"* \(#,##0\);_("$"* "-"??_);_(@_)</c:formatCode>
                <c:ptCount val="10"/>
                <c:pt idx="0">
                  <c:v>43965.229999999996</c:v>
                </c:pt>
                <c:pt idx="1">
                  <c:v>32497.87</c:v>
                </c:pt>
                <c:pt idx="2">
                  <c:v>26137.79</c:v>
                </c:pt>
                <c:pt idx="3">
                  <c:v>26004.95</c:v>
                </c:pt>
                <c:pt idx="4">
                  <c:v>23558.47</c:v>
                </c:pt>
                <c:pt idx="5">
                  <c:v>22544.299999999996</c:v>
                </c:pt>
                <c:pt idx="6">
                  <c:v>20470.349999999999</c:v>
                </c:pt>
                <c:pt idx="7">
                  <c:v>20345.579999999998</c:v>
                </c:pt>
                <c:pt idx="8">
                  <c:v>17780.260000000002</c:v>
                </c:pt>
                <c:pt idx="9">
                  <c:v>15955.109999999999</c:v>
                </c:pt>
              </c:numCache>
            </c:numRef>
          </c:val>
          <c:extLst>
            <c:ext xmlns:c16="http://schemas.microsoft.com/office/drawing/2014/chart" uri="{C3380CC4-5D6E-409C-BE32-E72D297353CC}">
              <c16:uniqueId val="{00000000-E06C-487F-835B-2A28F16792F6}"/>
            </c:ext>
          </c:extLst>
        </c:ser>
        <c:dLbls>
          <c:dLblPos val="outEnd"/>
          <c:showLegendKey val="0"/>
          <c:showVal val="1"/>
          <c:showCatName val="0"/>
          <c:showSerName val="0"/>
          <c:showPercent val="0"/>
          <c:showBubbleSize val="0"/>
        </c:dLbls>
        <c:gapWidth val="182"/>
        <c:axId val="223492495"/>
        <c:axId val="223490415"/>
      </c:barChart>
      <c:catAx>
        <c:axId val="22349249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3490415"/>
        <c:crosses val="autoZero"/>
        <c:auto val="1"/>
        <c:lblAlgn val="ctr"/>
        <c:lblOffset val="100"/>
        <c:noMultiLvlLbl val="0"/>
      </c:catAx>
      <c:valAx>
        <c:axId val="223490415"/>
        <c:scaling>
          <c:orientation val="minMax"/>
        </c:scaling>
        <c:delete val="0"/>
        <c:axPos val="t"/>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3492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6">
                <a:lumMod val="50000"/>
              </a:schemeClr>
            </a:solidFill>
          </c:spPr>
          <c:dPt>
            <c:idx val="0"/>
            <c:bubble3D val="0"/>
            <c:spPr>
              <a:solidFill>
                <a:schemeClr val="accent2"/>
              </a:solidFill>
              <a:ln w="19050">
                <a:solidFill>
                  <a:schemeClr val="lt1"/>
                </a:solidFill>
              </a:ln>
              <a:effectLst/>
            </c:spPr>
            <c:extLst>
              <c:ext xmlns:c16="http://schemas.microsoft.com/office/drawing/2014/chart" uri="{C3380CC4-5D6E-409C-BE32-E72D297353CC}">
                <c16:uniqueId val="{00000001-F42E-4C22-8E98-2A86A575A581}"/>
              </c:ext>
            </c:extLst>
          </c:dPt>
          <c:dPt>
            <c:idx val="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3-F42E-4C22-8E98-2A86A575A581}"/>
              </c:ext>
            </c:extLst>
          </c:dPt>
          <c:dLbls>
            <c:spPr>
              <a:solidFill>
                <a:schemeClr val="bg2">
                  <a:lumMod val="9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Pivot_Analysis!$C$159:$C$160</c:f>
              <c:strCache>
                <c:ptCount val="2"/>
                <c:pt idx="0">
                  <c:v>Over Budget</c:v>
                </c:pt>
                <c:pt idx="1">
                  <c:v>Within Budget</c:v>
                </c:pt>
              </c:strCache>
            </c:strRef>
          </c:cat>
          <c:val>
            <c:numRef>
              <c:f>Pivot_Analysis!$D$159:$D$160</c:f>
              <c:numCache>
                <c:formatCode>0.0%</c:formatCode>
                <c:ptCount val="2"/>
                <c:pt idx="0">
                  <c:v>0.38124999999999998</c:v>
                </c:pt>
                <c:pt idx="1">
                  <c:v>0.61875000000000002</c:v>
                </c:pt>
              </c:numCache>
            </c:numRef>
          </c:val>
          <c:extLst>
            <c:ext xmlns:c16="http://schemas.microsoft.com/office/drawing/2014/chart" uri="{C3380CC4-5D6E-409C-BE32-E72D297353CC}">
              <c16:uniqueId val="{00000004-F42E-4C22-8E98-2A86A575A581}"/>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3"/>
    </mc:Choice>
    <mc:Fallback>
      <c:style val="3"/>
    </mc:Fallback>
  </mc:AlternateContent>
  <c:pivotSource>
    <c:name>[Executive_Travel_Expense_Dashboard_Portfolio.xlsm]Pivot_Analysis!TablaDinámica1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Pivot_Analysis!$B$3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Pivot_Analysis!$A$4:$A$10</c:f>
              <c:strCache>
                <c:ptCount val="6"/>
                <c:pt idx="0">
                  <c:v>Jan</c:v>
                </c:pt>
                <c:pt idx="1">
                  <c:v>Feb</c:v>
                </c:pt>
                <c:pt idx="2">
                  <c:v>Mar</c:v>
                </c:pt>
                <c:pt idx="3">
                  <c:v>Apr</c:v>
                </c:pt>
                <c:pt idx="4">
                  <c:v>May</c:v>
                </c:pt>
                <c:pt idx="5">
                  <c:v>Jun</c:v>
                </c:pt>
              </c:strCache>
            </c:strRef>
          </c:cat>
          <c:val>
            <c:numRef>
              <c:f>Pivot_Analysis!$B$4:$B$10</c:f>
              <c:numCache>
                <c:formatCode>_("$"* #,##0_);_("$"* \(#,##0\);_("$"* "-"??_);_(@_)</c:formatCode>
                <c:ptCount val="6"/>
                <c:pt idx="0">
                  <c:v>34906.36</c:v>
                </c:pt>
                <c:pt idx="1">
                  <c:v>52198.909999999996</c:v>
                </c:pt>
                <c:pt idx="2">
                  <c:v>59620.72</c:v>
                </c:pt>
                <c:pt idx="3">
                  <c:v>72361.290000000008</c:v>
                </c:pt>
                <c:pt idx="4">
                  <c:v>75496.499999999985</c:v>
                </c:pt>
                <c:pt idx="5">
                  <c:v>54861.219999999987</c:v>
                </c:pt>
              </c:numCache>
            </c:numRef>
          </c:val>
          <c:extLst>
            <c:ext xmlns:c16="http://schemas.microsoft.com/office/drawing/2014/chart" uri="{C3380CC4-5D6E-409C-BE32-E72D297353CC}">
              <c16:uniqueId val="{00000000-25AE-4CB4-9A73-474471A0F6F5}"/>
            </c:ext>
          </c:extLst>
        </c:ser>
        <c:dLbls>
          <c:dLblPos val="outEnd"/>
          <c:showLegendKey val="0"/>
          <c:showVal val="1"/>
          <c:showCatName val="0"/>
          <c:showSerName val="0"/>
          <c:showPercent val="0"/>
          <c:showBubbleSize val="0"/>
        </c:dLbls>
        <c:gapWidth val="219"/>
        <c:overlap val="-27"/>
        <c:axId val="227348591"/>
        <c:axId val="227365231"/>
      </c:barChart>
      <c:catAx>
        <c:axId val="227348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365231"/>
        <c:crosses val="autoZero"/>
        <c:auto val="1"/>
        <c:lblAlgn val="ctr"/>
        <c:lblOffset val="100"/>
        <c:noMultiLvlLbl val="0"/>
      </c:catAx>
      <c:valAx>
        <c:axId val="227365231"/>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7348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9</xdr:col>
      <xdr:colOff>95250</xdr:colOff>
      <xdr:row>31</xdr:row>
      <xdr:rowOff>123825</xdr:rowOff>
    </xdr:from>
    <xdr:to>
      <xdr:col>12</xdr:col>
      <xdr:colOff>47625</xdr:colOff>
      <xdr:row>33</xdr:row>
      <xdr:rowOff>95250</xdr:rowOff>
    </xdr:to>
    <xdr:sp macro="" textlink="">
      <xdr:nvSpPr>
        <xdr:cNvPr id="2" name="Rectángulo: esquinas redondeadas 1">
          <a:extLst>
            <a:ext uri="{FF2B5EF4-FFF2-40B4-BE49-F238E27FC236}">
              <a16:creationId xmlns:a16="http://schemas.microsoft.com/office/drawing/2014/main" id="{ED0C60C2-CF0B-48E3-9864-21AEA13B3CB0}"/>
            </a:ext>
          </a:extLst>
        </xdr:cNvPr>
        <xdr:cNvSpPr/>
      </xdr:nvSpPr>
      <xdr:spPr>
        <a:xfrm>
          <a:off x="6448425" y="5800725"/>
          <a:ext cx="2466975"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180976</xdr:colOff>
      <xdr:row>31</xdr:row>
      <xdr:rowOff>114301</xdr:rowOff>
    </xdr:from>
    <xdr:to>
      <xdr:col>12</xdr:col>
      <xdr:colOff>38100</xdr:colOff>
      <xdr:row>33</xdr:row>
      <xdr:rowOff>28575</xdr:rowOff>
    </xdr:to>
    <xdr:sp macro="[0]!GoToDashboard" textlink="">
      <xdr:nvSpPr>
        <xdr:cNvPr id="7169" name="Text Box 1">
          <a:extLst>
            <a:ext uri="{FF2B5EF4-FFF2-40B4-BE49-F238E27FC236}">
              <a16:creationId xmlns:a16="http://schemas.microsoft.com/office/drawing/2014/main" id="{4A8C58F6-3E63-4EEE-B350-F0FB65F783A1}"/>
            </a:ext>
          </a:extLst>
        </xdr:cNvPr>
        <xdr:cNvSpPr txBox="1">
          <a:spLocks noChangeArrowheads="1"/>
        </xdr:cNvSpPr>
      </xdr:nvSpPr>
      <xdr:spPr bwMode="auto">
        <a:xfrm>
          <a:off x="6534151" y="5791201"/>
          <a:ext cx="2371724" cy="276224"/>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ctr" rtl="0">
            <a:defRPr sz="1000"/>
          </a:pPr>
          <a:r>
            <a:rPr lang="en-US" sz="1100" b="0" i="0" u="none" strike="noStrike" baseline="0">
              <a:solidFill>
                <a:srgbClr val="000000"/>
              </a:solidFill>
              <a:latin typeface="Carlito"/>
            </a:rPr>
            <a:t>Open Interactive Dashboard</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495300</xdr:colOff>
          <xdr:row>2</xdr:row>
          <xdr:rowOff>28575</xdr:rowOff>
        </xdr:from>
        <xdr:to>
          <xdr:col>39</xdr:col>
          <xdr:colOff>228600</xdr:colOff>
          <xdr:row>3</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3B307B07-C076-4140-8577-299B39137F0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rlito"/>
                </a:rPr>
                <a:t>Highlight Exceptions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144945</xdr:colOff>
      <xdr:row>45</xdr:row>
      <xdr:rowOff>3313</xdr:rowOff>
    </xdr:from>
    <xdr:to>
      <xdr:col>7</xdr:col>
      <xdr:colOff>99391</xdr:colOff>
      <xdr:row>60</xdr:row>
      <xdr:rowOff>13253</xdr:rowOff>
    </xdr:to>
    <xdr:graphicFrame macro="">
      <xdr:nvGraphicFramePr>
        <xdr:cNvPr id="4" name="Gráfico 3">
          <a:extLst>
            <a:ext uri="{FF2B5EF4-FFF2-40B4-BE49-F238E27FC236}">
              <a16:creationId xmlns:a16="http://schemas.microsoft.com/office/drawing/2014/main" id="{117B06B2-8BC3-4323-9679-85CD2EA4F3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136662</xdr:colOff>
      <xdr:row>60</xdr:row>
      <xdr:rowOff>127552</xdr:rowOff>
    </xdr:from>
    <xdr:to>
      <xdr:col>7</xdr:col>
      <xdr:colOff>82826</xdr:colOff>
      <xdr:row>75</xdr:row>
      <xdr:rowOff>41413</xdr:rowOff>
    </xdr:to>
    <xdr:graphicFrame macro="">
      <xdr:nvGraphicFramePr>
        <xdr:cNvPr id="5" name="Gráfico 4">
          <a:extLst>
            <a:ext uri="{FF2B5EF4-FFF2-40B4-BE49-F238E27FC236}">
              <a16:creationId xmlns:a16="http://schemas.microsoft.com/office/drawing/2014/main" id="{9854EE51-13BD-42CE-BD60-E87C17F1E5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342900</xdr:colOff>
      <xdr:row>0</xdr:row>
      <xdr:rowOff>161926</xdr:rowOff>
    </xdr:from>
    <xdr:to>
      <xdr:col>19</xdr:col>
      <xdr:colOff>266700</xdr:colOff>
      <xdr:row>9</xdr:row>
      <xdr:rowOff>19051</xdr:rowOff>
    </xdr:to>
    <xdr:sp macro="" textlink="">
      <xdr:nvSpPr>
        <xdr:cNvPr id="2" name="Rectángulo 1">
          <a:extLst>
            <a:ext uri="{FF2B5EF4-FFF2-40B4-BE49-F238E27FC236}">
              <a16:creationId xmlns:a16="http://schemas.microsoft.com/office/drawing/2014/main" id="{7526F937-DD62-4A34-B6B9-1813066D572A}"/>
            </a:ext>
          </a:extLst>
        </xdr:cNvPr>
        <xdr:cNvSpPr/>
      </xdr:nvSpPr>
      <xdr:spPr>
        <a:xfrm>
          <a:off x="13620750" y="161926"/>
          <a:ext cx="1600200" cy="1885950"/>
        </a:xfrm>
        <a:prstGeom prst="rect">
          <a:avLst/>
        </a:prstGeom>
        <a:solidFill>
          <a:schemeClr val="bg2">
            <a:lumMod val="50000"/>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t>Dashboard Controls</a:t>
          </a:r>
          <a:endParaRPr lang="en-US" sz="1100" b="1"/>
        </a:p>
      </xdr:txBody>
    </xdr:sp>
    <xdr:clientData/>
  </xdr:twoCellAnchor>
  <xdr:twoCellAnchor>
    <xdr:from>
      <xdr:col>10</xdr:col>
      <xdr:colOff>38100</xdr:colOff>
      <xdr:row>11</xdr:row>
      <xdr:rowOff>285750</xdr:rowOff>
    </xdr:from>
    <xdr:to>
      <xdr:col>18</xdr:col>
      <xdr:colOff>809625</xdr:colOff>
      <xdr:row>26</xdr:row>
      <xdr:rowOff>161926</xdr:rowOff>
    </xdr:to>
    <xdr:graphicFrame macro="">
      <xdr:nvGraphicFramePr>
        <xdr:cNvPr id="3" name="Gráfico 2">
          <a:extLst>
            <a:ext uri="{FF2B5EF4-FFF2-40B4-BE49-F238E27FC236}">
              <a16:creationId xmlns:a16="http://schemas.microsoft.com/office/drawing/2014/main" id="{1A6CDC10-31DC-4657-985B-6030E5A526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47624</xdr:colOff>
      <xdr:row>30</xdr:row>
      <xdr:rowOff>123825</xdr:rowOff>
    </xdr:from>
    <xdr:to>
      <xdr:col>11</xdr:col>
      <xdr:colOff>390525</xdr:colOff>
      <xdr:row>44</xdr:row>
      <xdr:rowOff>133350</xdr:rowOff>
    </xdr:to>
    <xdr:graphicFrame macro="">
      <xdr:nvGraphicFramePr>
        <xdr:cNvPr id="4" name="Gráfico 3">
          <a:extLst>
            <a:ext uri="{FF2B5EF4-FFF2-40B4-BE49-F238E27FC236}">
              <a16:creationId xmlns:a16="http://schemas.microsoft.com/office/drawing/2014/main" id="{39071017-F6DB-461E-9A70-9AE2E9FC3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133350</xdr:colOff>
      <xdr:row>29</xdr:row>
      <xdr:rowOff>257175</xdr:rowOff>
    </xdr:from>
    <xdr:to>
      <xdr:col>18</xdr:col>
      <xdr:colOff>723900</xdr:colOff>
      <xdr:row>44</xdr:row>
      <xdr:rowOff>38100</xdr:rowOff>
    </xdr:to>
    <xdr:graphicFrame macro="">
      <xdr:nvGraphicFramePr>
        <xdr:cNvPr id="6" name="Gráfico 5">
          <a:extLst>
            <a:ext uri="{FF2B5EF4-FFF2-40B4-BE49-F238E27FC236}">
              <a16:creationId xmlns:a16="http://schemas.microsoft.com/office/drawing/2014/main" id="{8E4D3EE4-6D5C-4F90-8E05-5720BCF625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19</xdr:col>
      <xdr:colOff>400050</xdr:colOff>
      <xdr:row>0</xdr:row>
      <xdr:rowOff>142875</xdr:rowOff>
    </xdr:from>
    <xdr:to>
      <xdr:col>21</xdr:col>
      <xdr:colOff>552450</xdr:colOff>
      <xdr:row>12</xdr:row>
      <xdr:rowOff>85725</xdr:rowOff>
    </xdr:to>
    <mc:AlternateContent xmlns:mc="http://schemas.openxmlformats.org/markup-compatibility/2006">
      <mc:Choice xmlns:a14="http://schemas.microsoft.com/office/drawing/2010/main" Requires="a14">
        <xdr:graphicFrame macro="">
          <xdr:nvGraphicFramePr>
            <xdr:cNvPr id="7" name="Department">
              <a:extLst>
                <a:ext uri="{FF2B5EF4-FFF2-40B4-BE49-F238E27FC236}">
                  <a16:creationId xmlns:a16="http://schemas.microsoft.com/office/drawing/2014/main" id="{93D3B523-ECEA-45AF-B53D-CE5CC4ED5D9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5354300" y="142875"/>
              <a:ext cx="1828800" cy="2524125"/>
            </a:xfrm>
            <a:prstGeom prst="rect">
              <a:avLst/>
            </a:prstGeom>
            <a:solidFill>
              <a:prstClr val="white"/>
            </a:solidFill>
            <a:ln w="1">
              <a:solidFill>
                <a:prstClr val="green"/>
              </a:solidFill>
            </a:ln>
          </xdr:spPr>
          <xdr:txBody>
            <a:bodyPr vertOverflow="clip" horzOverflow="clip"/>
            <a:lstStyle/>
            <a:p>
              <a:r>
                <a:rPr lang="en-U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19</xdr:col>
      <xdr:colOff>419100</xdr:colOff>
      <xdr:row>29</xdr:row>
      <xdr:rowOff>47625</xdr:rowOff>
    </xdr:from>
    <xdr:to>
      <xdr:col>21</xdr:col>
      <xdr:colOff>571500</xdr:colOff>
      <xdr:row>36</xdr:row>
      <xdr:rowOff>57150</xdr:rowOff>
    </xdr:to>
    <mc:AlternateContent xmlns:mc="http://schemas.openxmlformats.org/markup-compatibility/2006">
      <mc:Choice xmlns:a14="http://schemas.microsoft.com/office/drawing/2010/main" Requires="a14">
        <xdr:graphicFrame macro="">
          <xdr:nvGraphicFramePr>
            <xdr:cNvPr id="9" name="Trip_Type">
              <a:extLst>
                <a:ext uri="{FF2B5EF4-FFF2-40B4-BE49-F238E27FC236}">
                  <a16:creationId xmlns:a16="http://schemas.microsoft.com/office/drawing/2014/main" id="{B37E5664-5626-47F6-B5FA-3B5C58475474}"/>
                </a:ext>
              </a:extLst>
            </xdr:cNvPr>
            <xdr:cNvGraphicFramePr/>
          </xdr:nvGraphicFramePr>
          <xdr:xfrm>
            <a:off x="0" y="0"/>
            <a:ext cx="0" cy="0"/>
          </xdr:xfrm>
          <a:graphic>
            <a:graphicData uri="http://schemas.microsoft.com/office/drawing/2010/slicer">
              <sle:slicer xmlns:sle="http://schemas.microsoft.com/office/drawing/2010/slicer" name="Trip_Type"/>
            </a:graphicData>
          </a:graphic>
        </xdr:graphicFrame>
      </mc:Choice>
      <mc:Fallback>
        <xdr:sp macro="" textlink="">
          <xdr:nvSpPr>
            <xdr:cNvPr id="0" name=""/>
            <xdr:cNvSpPr>
              <a:spLocks noTextEdit="1"/>
            </xdr:cNvSpPr>
          </xdr:nvSpPr>
          <xdr:spPr>
            <a:xfrm>
              <a:off x="15373350" y="5705475"/>
              <a:ext cx="1828800" cy="1285875"/>
            </a:xfrm>
            <a:prstGeom prst="rect">
              <a:avLst/>
            </a:prstGeom>
            <a:solidFill>
              <a:prstClr val="white"/>
            </a:solidFill>
            <a:ln w="1">
              <a:solidFill>
                <a:prstClr val="green"/>
              </a:solidFill>
            </a:ln>
          </xdr:spPr>
          <xdr:txBody>
            <a:bodyPr vertOverflow="clip" horzOverflow="clip"/>
            <a:lstStyle/>
            <a:p>
              <a:r>
                <a:rPr lang="en-U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19</xdr:col>
      <xdr:colOff>447675</xdr:colOff>
      <xdr:row>38</xdr:row>
      <xdr:rowOff>38101</xdr:rowOff>
    </xdr:from>
    <xdr:to>
      <xdr:col>21</xdr:col>
      <xdr:colOff>600075</xdr:colOff>
      <xdr:row>48</xdr:row>
      <xdr:rowOff>1</xdr:rowOff>
    </xdr:to>
    <mc:AlternateContent xmlns:mc="http://schemas.openxmlformats.org/markup-compatibility/2006">
      <mc:Choice xmlns:a14="http://schemas.microsoft.com/office/drawing/2010/main" Requires="a14">
        <xdr:graphicFrame macro="">
          <xdr:nvGraphicFramePr>
            <xdr:cNvPr id="10" name="Role_Level">
              <a:extLst>
                <a:ext uri="{FF2B5EF4-FFF2-40B4-BE49-F238E27FC236}">
                  <a16:creationId xmlns:a16="http://schemas.microsoft.com/office/drawing/2014/main" id="{A5F98470-C15E-4DD7-BBB9-0F8BD5C9E4FA}"/>
                </a:ext>
              </a:extLst>
            </xdr:cNvPr>
            <xdr:cNvGraphicFramePr/>
          </xdr:nvGraphicFramePr>
          <xdr:xfrm>
            <a:off x="0" y="0"/>
            <a:ext cx="0" cy="0"/>
          </xdr:xfrm>
          <a:graphic>
            <a:graphicData uri="http://schemas.microsoft.com/office/drawing/2010/slicer">
              <sle:slicer xmlns:sle="http://schemas.microsoft.com/office/drawing/2010/slicer" name="Role_Level"/>
            </a:graphicData>
          </a:graphic>
        </xdr:graphicFrame>
      </mc:Choice>
      <mc:Fallback>
        <xdr:sp macro="" textlink="">
          <xdr:nvSpPr>
            <xdr:cNvPr id="0" name=""/>
            <xdr:cNvSpPr>
              <a:spLocks noTextEdit="1"/>
            </xdr:cNvSpPr>
          </xdr:nvSpPr>
          <xdr:spPr>
            <a:xfrm>
              <a:off x="15401925" y="7334251"/>
              <a:ext cx="1828800" cy="1771650"/>
            </a:xfrm>
            <a:prstGeom prst="rect">
              <a:avLst/>
            </a:prstGeom>
            <a:solidFill>
              <a:prstClr val="white"/>
            </a:solidFill>
            <a:ln w="1">
              <a:solidFill>
                <a:prstClr val="green"/>
              </a:solidFill>
            </a:ln>
          </xdr:spPr>
          <xdr:txBody>
            <a:bodyPr vertOverflow="clip" horzOverflow="clip"/>
            <a:lstStyle/>
            <a:p>
              <a:r>
                <a:rPr lang="en-U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19</xdr:col>
      <xdr:colOff>419100</xdr:colOff>
      <xdr:row>13</xdr:row>
      <xdr:rowOff>152400</xdr:rowOff>
    </xdr:from>
    <xdr:to>
      <xdr:col>21</xdr:col>
      <xdr:colOff>571500</xdr:colOff>
      <xdr:row>27</xdr:row>
      <xdr:rowOff>142875</xdr:rowOff>
    </xdr:to>
    <mc:AlternateContent xmlns:mc="http://schemas.openxmlformats.org/markup-compatibility/2006">
      <mc:Choice xmlns:a14="http://schemas.microsoft.com/office/drawing/2010/main" Requires="a14">
        <xdr:graphicFrame macro="">
          <xdr:nvGraphicFramePr>
            <xdr:cNvPr id="13" name="Travel_Month">
              <a:extLst>
                <a:ext uri="{FF2B5EF4-FFF2-40B4-BE49-F238E27FC236}">
                  <a16:creationId xmlns:a16="http://schemas.microsoft.com/office/drawing/2014/main" id="{8E3F7086-E176-4992-91F4-4BB7C84D8EFF}"/>
                </a:ext>
              </a:extLst>
            </xdr:cNvPr>
            <xdr:cNvGraphicFramePr/>
          </xdr:nvGraphicFramePr>
          <xdr:xfrm>
            <a:off x="0" y="0"/>
            <a:ext cx="0" cy="0"/>
          </xdr:xfrm>
          <a:graphic>
            <a:graphicData uri="http://schemas.microsoft.com/office/drawing/2010/slicer">
              <sle:slicer xmlns:sle="http://schemas.microsoft.com/office/drawing/2010/slicer" name="Travel_Month"/>
            </a:graphicData>
          </a:graphic>
        </xdr:graphicFrame>
      </mc:Choice>
      <mc:Fallback>
        <xdr:sp macro="" textlink="">
          <xdr:nvSpPr>
            <xdr:cNvPr id="0" name=""/>
            <xdr:cNvSpPr>
              <a:spLocks noTextEdit="1"/>
            </xdr:cNvSpPr>
          </xdr:nvSpPr>
          <xdr:spPr>
            <a:xfrm>
              <a:off x="15373350" y="2914650"/>
              <a:ext cx="1828800" cy="2524125"/>
            </a:xfrm>
            <a:prstGeom prst="rect">
              <a:avLst/>
            </a:prstGeom>
            <a:solidFill>
              <a:prstClr val="white"/>
            </a:solidFill>
            <a:ln w="1">
              <a:solidFill>
                <a:prstClr val="green"/>
              </a:solidFill>
            </a:ln>
          </xdr:spPr>
          <xdr:txBody>
            <a:bodyPr vertOverflow="clip" horzOverflow="clip"/>
            <a:lstStyle/>
            <a:p>
              <a:r>
                <a:rPr lang="en-U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123824</xdr:colOff>
      <xdr:row>11</xdr:row>
      <xdr:rowOff>200024</xdr:rowOff>
    </xdr:from>
    <xdr:to>
      <xdr:col>8</xdr:col>
      <xdr:colOff>342899</xdr:colOff>
      <xdr:row>26</xdr:row>
      <xdr:rowOff>104774</xdr:rowOff>
    </xdr:to>
    <xdr:graphicFrame macro="">
      <xdr:nvGraphicFramePr>
        <xdr:cNvPr id="14" name="Gráfico 13">
          <a:extLst>
            <a:ext uri="{FF2B5EF4-FFF2-40B4-BE49-F238E27FC236}">
              <a16:creationId xmlns:a16="http://schemas.microsoft.com/office/drawing/2014/main" id="{2014E3B1-814F-440C-9AE1-2C4E09713E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257176</xdr:colOff>
      <xdr:row>46</xdr:row>
      <xdr:rowOff>142875</xdr:rowOff>
    </xdr:from>
    <xdr:to>
      <xdr:col>6</xdr:col>
      <xdr:colOff>466726</xdr:colOff>
      <xdr:row>49</xdr:row>
      <xdr:rowOff>0</xdr:rowOff>
    </xdr:to>
    <xdr:sp macro="" textlink="">
      <xdr:nvSpPr>
        <xdr:cNvPr id="15" name="Rectángulo: esquinas redondeadas 14">
          <a:extLst>
            <a:ext uri="{FF2B5EF4-FFF2-40B4-BE49-F238E27FC236}">
              <a16:creationId xmlns:a16="http://schemas.microsoft.com/office/drawing/2014/main" id="{128FF80B-5A02-4924-95C3-296069FE94AF}"/>
            </a:ext>
          </a:extLst>
        </xdr:cNvPr>
        <xdr:cNvSpPr/>
      </xdr:nvSpPr>
      <xdr:spPr>
        <a:xfrm>
          <a:off x="2428876" y="10077450"/>
          <a:ext cx="2362200" cy="4000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a:solidFill>
                <a:schemeClr val="bg1"/>
              </a:solidFill>
            </a:rPr>
            <a:t>Highest spend month: May ($75,497)</a:t>
          </a:r>
          <a:endParaRPr lang="en-US" sz="1100">
            <a:solidFill>
              <a:schemeClr val="bg1"/>
            </a:solidFill>
          </a:endParaRPr>
        </a:p>
      </xdr:txBody>
    </xdr:sp>
    <xdr:clientData/>
  </xdr:twoCellAnchor>
  <xdr:twoCellAnchor>
    <xdr:from>
      <xdr:col>7</xdr:col>
      <xdr:colOff>400050</xdr:colOff>
      <xdr:row>46</xdr:row>
      <xdr:rowOff>133350</xdr:rowOff>
    </xdr:from>
    <xdr:to>
      <xdr:col>11</xdr:col>
      <xdr:colOff>38099</xdr:colOff>
      <xdr:row>48</xdr:row>
      <xdr:rowOff>171450</xdr:rowOff>
    </xdr:to>
    <xdr:sp macro="" textlink="">
      <xdr:nvSpPr>
        <xdr:cNvPr id="18" name="Rectángulo: esquinas redondeadas 17">
          <a:extLst>
            <a:ext uri="{FF2B5EF4-FFF2-40B4-BE49-F238E27FC236}">
              <a16:creationId xmlns:a16="http://schemas.microsoft.com/office/drawing/2014/main" id="{42C5EB22-5829-43F4-A485-65BA41F2AF13}"/>
            </a:ext>
          </a:extLst>
        </xdr:cNvPr>
        <xdr:cNvSpPr/>
      </xdr:nvSpPr>
      <xdr:spPr>
        <a:xfrm>
          <a:off x="5686425" y="8877300"/>
          <a:ext cx="2781299" cy="4000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a:solidFill>
                <a:schemeClr val="bg1"/>
              </a:solidFill>
            </a:rPr>
            <a:t>Finance recorded the highest travel spend</a:t>
          </a:r>
          <a:endParaRPr lang="en-US" sz="1100">
            <a:solidFill>
              <a:schemeClr val="bg1"/>
            </a:solidFill>
          </a:endParaRPr>
        </a:p>
      </xdr:txBody>
    </xdr:sp>
    <xdr:clientData/>
  </xdr:twoCellAnchor>
  <xdr:twoCellAnchor>
    <xdr:from>
      <xdr:col>12</xdr:col>
      <xdr:colOff>352426</xdr:colOff>
      <xdr:row>46</xdr:row>
      <xdr:rowOff>123825</xdr:rowOff>
    </xdr:from>
    <xdr:to>
      <xdr:col>15</xdr:col>
      <xdr:colOff>371475</xdr:colOff>
      <xdr:row>48</xdr:row>
      <xdr:rowOff>161925</xdr:rowOff>
    </xdr:to>
    <xdr:sp macro="" textlink="">
      <xdr:nvSpPr>
        <xdr:cNvPr id="19" name="Rectángulo: esquinas redondeadas 18">
          <a:extLst>
            <a:ext uri="{FF2B5EF4-FFF2-40B4-BE49-F238E27FC236}">
              <a16:creationId xmlns:a16="http://schemas.microsoft.com/office/drawing/2014/main" id="{012F13A9-ED00-4AB6-B730-8E2BE647144F}"/>
            </a:ext>
          </a:extLst>
        </xdr:cNvPr>
        <xdr:cNvSpPr/>
      </xdr:nvSpPr>
      <xdr:spPr>
        <a:xfrm>
          <a:off x="9210676" y="8867775"/>
          <a:ext cx="2562224" cy="4000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a:solidFill>
                <a:schemeClr val="bg1"/>
              </a:solidFill>
            </a:rPr>
            <a:t>61.9% of trips remained within budget</a:t>
          </a:r>
          <a:endParaRPr lang="en-US" sz="1100">
            <a:solidFill>
              <a:schemeClr val="bg1"/>
            </a:solidFill>
          </a:endParaRPr>
        </a:p>
      </xdr:txBody>
    </xdr:sp>
    <xdr:clientData/>
  </xdr:twoCellAnchor>
  <xdr:twoCellAnchor>
    <xdr:from>
      <xdr:col>16</xdr:col>
      <xdr:colOff>200025</xdr:colOff>
      <xdr:row>46</xdr:row>
      <xdr:rowOff>142875</xdr:rowOff>
    </xdr:from>
    <xdr:to>
      <xdr:col>18</xdr:col>
      <xdr:colOff>819151</xdr:colOff>
      <xdr:row>49</xdr:row>
      <xdr:rowOff>0</xdr:rowOff>
    </xdr:to>
    <xdr:sp macro="" textlink="">
      <xdr:nvSpPr>
        <xdr:cNvPr id="20" name="Rectángulo: esquinas redondeadas 19">
          <a:extLst>
            <a:ext uri="{FF2B5EF4-FFF2-40B4-BE49-F238E27FC236}">
              <a16:creationId xmlns:a16="http://schemas.microsoft.com/office/drawing/2014/main" id="{3B590808-5283-4542-BB28-3FD0A0C6E359}"/>
            </a:ext>
          </a:extLst>
        </xdr:cNvPr>
        <xdr:cNvSpPr/>
      </xdr:nvSpPr>
      <xdr:spPr>
        <a:xfrm>
          <a:off x="12439650" y="8886825"/>
          <a:ext cx="2495551" cy="4000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a:solidFill>
                <a:schemeClr val="bg1"/>
              </a:solidFill>
            </a:rPr>
            <a:t>Preferred vendor usage reached 79.4%</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xdr:from>
          <xdr:col>17</xdr:col>
          <xdr:colOff>428625</xdr:colOff>
          <xdr:row>4</xdr:row>
          <xdr:rowOff>85725</xdr:rowOff>
        </xdr:from>
        <xdr:to>
          <xdr:col>19</xdr:col>
          <xdr:colOff>180975</xdr:colOff>
          <xdr:row>6</xdr:row>
          <xdr:rowOff>28575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rlito"/>
                </a:rPr>
                <a:t>Refresh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438150</xdr:colOff>
          <xdr:row>7</xdr:row>
          <xdr:rowOff>19050</xdr:rowOff>
        </xdr:from>
        <xdr:to>
          <xdr:col>19</xdr:col>
          <xdr:colOff>171450</xdr:colOff>
          <xdr:row>8</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rlito"/>
                </a:rPr>
                <a:t>Clear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428625</xdr:colOff>
          <xdr:row>2</xdr:row>
          <xdr:rowOff>161925</xdr:rowOff>
        </xdr:from>
        <xdr:to>
          <xdr:col>19</xdr:col>
          <xdr:colOff>200025</xdr:colOff>
          <xdr:row>3</xdr:row>
          <xdr:rowOff>285750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rlito"/>
                </a:rPr>
                <a:t>Reset &amp; Refresh</a:t>
              </a:r>
            </a:p>
          </xdr:txBody>
        </xdr:sp>
        <xdr:clientData fPrintsWithSheet="0"/>
      </xdr:twoCellAnchor>
    </mc:Choice>
    <mc:Fallback/>
  </mc:AlternateContent>
  <xdr:twoCellAnchor>
    <xdr:from>
      <xdr:col>17</xdr:col>
      <xdr:colOff>447675</xdr:colOff>
      <xdr:row>3</xdr:row>
      <xdr:rowOff>1</xdr:rowOff>
    </xdr:from>
    <xdr:to>
      <xdr:col>19</xdr:col>
      <xdr:colOff>190500</xdr:colOff>
      <xdr:row>3</xdr:row>
      <xdr:rowOff>266701</xdr:rowOff>
    </xdr:to>
    <xdr:sp macro="[0]!ResetAndRefresh" textlink="">
      <xdr:nvSpPr>
        <xdr:cNvPr id="8" name="Rectángulo 7">
          <a:extLst>
            <a:ext uri="{FF2B5EF4-FFF2-40B4-BE49-F238E27FC236}">
              <a16:creationId xmlns:a16="http://schemas.microsoft.com/office/drawing/2014/main" id="{ACA75ECF-B5F6-4DEA-8A74-436DEE04C529}"/>
            </a:ext>
          </a:extLst>
        </xdr:cNvPr>
        <xdr:cNvSpPr/>
      </xdr:nvSpPr>
      <xdr:spPr>
        <a:xfrm>
          <a:off x="13725525" y="542926"/>
          <a:ext cx="1419225" cy="2667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Reset &amp; Refresh</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ovanna Fuentes Salas" refreshedDate="46308.616995254626" createdVersion="7" refreshedVersion="7" minRefreshableVersion="3" recordCount="161" xr:uid="{06D1CE09-20AD-4CA7-A597-39570E808924}">
  <cacheSource type="worksheet">
    <worksheetSource ref="A1:AH1048576" sheet="Travel_Expense_Data"/>
  </cacheSource>
  <cacheFields count="37">
    <cacheField name="Trip_ID" numFmtId="0">
      <sharedItems containsBlank="1"/>
    </cacheField>
    <cacheField name="Traveler_Name" numFmtId="0">
      <sharedItems containsBlank="1"/>
    </cacheField>
    <cacheField name="Role_Level" numFmtId="0">
      <sharedItems containsBlank="1" count="5">
        <s v="Manager"/>
        <s v="C-Level"/>
        <s v="Director"/>
        <s v="VP"/>
        <m/>
      </sharedItems>
    </cacheField>
    <cacheField name="Department" numFmtId="0">
      <sharedItems containsBlank="1" count="9">
        <s v="Finance"/>
        <s v="Executive Office"/>
        <s v="HR"/>
        <s v="Product"/>
        <s v="Marketing"/>
        <s v="Operations"/>
        <s v="Sales"/>
        <s v="Technology"/>
        <m/>
      </sharedItems>
    </cacheField>
    <cacheField name="Origin_City" numFmtId="0">
      <sharedItems containsBlank="1"/>
    </cacheField>
    <cacheField name="Destination" numFmtId="0">
      <sharedItems containsBlank="1" count="19">
        <s v="San Francisco, CA"/>
        <s v="London, UK"/>
        <s v="Los Angeles, CA"/>
        <s v="Dallas, TX"/>
        <s v="Mexico City, Mexico"/>
        <s v="Miami, FL"/>
        <s v="Chicago, IL"/>
        <s v="New York, NY"/>
        <s v="Lima, Peru"/>
        <s v="Washington, DC"/>
        <s v="São Paulo, Brazil"/>
        <s v="Boston, MA"/>
        <s v="Austin, TX"/>
        <s v="Seattle, WA"/>
        <s v="Madrid, Spain"/>
        <s v="Toronto, Canada"/>
        <s v="Atlanta, GA"/>
        <s v="Denver, CO"/>
        <m/>
      </sharedItems>
    </cacheField>
    <cacheField name="Trip_Type" numFmtId="0">
      <sharedItems containsBlank="1" count="3">
        <s v="Domestic"/>
        <s v="International"/>
        <m/>
      </sharedItems>
    </cacheField>
    <cacheField name="Travel_Purpose" numFmtId="0">
      <sharedItems containsBlank="1"/>
    </cacheField>
    <cacheField name="Booking_Channel" numFmtId="0">
      <sharedItems containsBlank="1"/>
    </cacheField>
    <cacheField name="Booking_Date" numFmtId="0">
      <sharedItems containsNonDate="0" containsDate="1" containsString="0" containsBlank="1" minDate="2025-12-05T00:00:00" maxDate="2026-06-14T00:00:00"/>
    </cacheField>
    <cacheField name="Departure_Date" numFmtId="0">
      <sharedItems containsNonDate="0" containsDate="1" containsString="0" containsBlank="1" minDate="2026-01-05T00:00:00" maxDate="2026-06-26T00:00:00"/>
    </cacheField>
    <cacheField name="Return_Date" numFmtId="0">
      <sharedItems containsNonDate="0" containsDate="1" containsString="0" containsBlank="1" minDate="2026-01-09T00:00:00" maxDate="2026-06-30T00:00:00"/>
    </cacheField>
    <cacheField name="Travel_Month2" numFmtId="0">
      <sharedItems containsNonDate="0" containsDate="1" containsString="0" containsBlank="1" minDate="2026-01-01T00:00:00" maxDate="2026-06-02T00:00:00" count="7">
        <d v="2026-03-01T00:00:00"/>
        <d v="2026-04-01T00:00:00"/>
        <d v="2026-06-01T00:00:00"/>
        <d v="2026-01-01T00:00:00"/>
        <d v="2026-05-01T00:00:00"/>
        <d v="2026-02-01T00:00:00"/>
        <m/>
      </sharedItems>
      <fieldGroup par="34" base="12">
        <rangePr groupBy="days" startDate="2026-01-01T00:00:00" endDate="2026-06-02T00:00:00"/>
        <groupItems count="368">
          <s v="(en blanco)"/>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2/2026"/>
        </groupItems>
      </fieldGroup>
    </cacheField>
    <cacheField name="Travel_Month" numFmtId="0">
      <sharedItems containsBlank="1" count="7">
        <s v="Mar"/>
        <s v="Apr"/>
        <s v="Jun"/>
        <s v="Jan"/>
        <s v="May"/>
        <s v="Feb"/>
        <m/>
      </sharedItems>
    </cacheField>
    <cacheField name="Month_Number" numFmtId="1">
      <sharedItems containsString="0" containsBlank="1" containsNumber="1" containsInteger="1" minValue="1" maxValue="6"/>
    </cacheField>
    <cacheField name="Booking_lead_Days" numFmtId="1">
      <sharedItems containsString="0" containsBlank="1" containsNumber="1" containsInteger="1" minValue="3" maxValue="45"/>
    </cacheField>
    <cacheField name="Trip_Duration_Days" numFmtId="1">
      <sharedItems containsString="0" containsBlank="1" containsNumber="1" containsInteger="1" minValue="1" maxValue="7"/>
    </cacheField>
    <cacheField name="Airline" numFmtId="0">
      <sharedItems containsBlank="1" count="9">
        <s v="JetBlue"/>
        <s v="Air Canada"/>
        <s v="American Airlines"/>
        <s v="Southwest"/>
        <s v="Delta"/>
        <s v="United"/>
        <s v="LATAM"/>
        <s v="British Airways"/>
        <m/>
      </sharedItems>
    </cacheField>
    <cacheField name="Hotel" numFmtId="0">
      <sharedItems containsBlank="1" count="9">
        <s v="Embassy Suites"/>
        <s v="Hilton"/>
        <s v="Courtyard"/>
        <s v="Sheraton"/>
        <s v="Marriott"/>
        <s v="Westin"/>
        <s v="Conrad"/>
        <s v="Hyatt"/>
        <m/>
      </sharedItems>
    </cacheField>
    <cacheField name="Airfare_USD" numFmtId="0">
      <sharedItems containsString="0" containsBlank="1" containsNumber="1" minValue="190.24" maxValue="2452.02"/>
    </cacheField>
    <cacheField name="Hotel_USD" numFmtId="0">
      <sharedItems containsString="0" containsBlank="1" containsNumber="1" minValue="152.93" maxValue="2578.94"/>
    </cacheField>
    <cacheField name="Ground_Transport_USD" numFmtId="0">
      <sharedItems containsString="0" containsBlank="1" containsNumber="1" minValue="46.35" maxValue="319.99"/>
    </cacheField>
    <cacheField name="Meals_USD" numFmtId="0">
      <sharedItems containsString="0" containsBlank="1" containsNumber="1" minValue="55.48" maxValue="799.76"/>
    </cacheField>
    <cacheField name="Other_Expenses_USD" numFmtId="0">
      <sharedItems containsString="0" containsBlank="1" containsNumber="1" minValue="2.99" maxValue="178.73"/>
    </cacheField>
    <cacheField name="Total_Actual_USD" numFmtId="0">
      <sharedItems containsString="0" containsBlank="1" containsNumber="1" minValue="804.22" maxValue="4810.1299999999992"/>
    </cacheField>
    <cacheField name="Budget_USD" numFmtId="0">
      <sharedItems containsString="0" containsBlank="1" containsNumber="1" minValue="763.33" maxValue="4940.59"/>
    </cacheField>
    <cacheField name="Budget_Variance_USD" numFmtId="0">
      <sharedItems containsString="0" containsBlank="1" containsNumber="1" minValue="-463.00999999999931" maxValue="569.77000000000044"/>
    </cacheField>
    <cacheField name="Budget_Variance_%" numFmtId="9">
      <sharedItems containsString="0" containsBlank="1" containsNumber="1" minValue="-0.13262854968367987" maxValue="0.14799193193415908"/>
    </cacheField>
    <cacheField name="Budget Status" numFmtId="0">
      <sharedItems containsBlank="1" count="3">
        <s v="Over Budget"/>
        <s v="Within Budget"/>
        <m/>
      </sharedItems>
    </cacheField>
    <cacheField name="Approval_Status" numFmtId="0">
      <sharedItems containsBlank="1"/>
    </cacheField>
    <cacheField name="Expense_Report_Status" numFmtId="0">
      <sharedItems containsBlank="1"/>
    </cacheField>
    <cacheField name="Preferred_Vendor_Used" numFmtId="0">
      <sharedItems containsBlank="1" count="3">
        <s v="Yes"/>
        <s v="No"/>
        <m/>
      </sharedItems>
    </cacheField>
    <cacheField name="Policy_Exception" numFmtId="0">
      <sharedItems containsBlank="1"/>
    </cacheField>
    <cacheField name="Exception_Reason" numFmtId="0">
      <sharedItems containsBlank="1" count="4">
        <m/>
        <s v="Non-preferred vendor"/>
        <s v="Spend above approved budget"/>
        <s v="Late booking"/>
      </sharedItems>
    </cacheField>
    <cacheField name="Meses" numFmtId="0" databaseField="0">
      <fieldGroup base="12">
        <rangePr groupBy="months" startDate="2026-01-01T00:00:00" endDate="2026-06-02T00:00:00"/>
        <groupItems count="14">
          <s v="&lt;1/1/2026"/>
          <s v="Jan"/>
          <s v="Feb"/>
          <s v="Mar"/>
          <s v="Apr"/>
          <s v="May"/>
          <s v="Jun"/>
          <s v="Jul"/>
          <s v="Aug"/>
          <s v="Sep"/>
          <s v="Oct"/>
          <s v="Nov"/>
          <s v="Dec"/>
          <s v="&gt;6/2/2026"/>
        </groupItems>
      </fieldGroup>
    </cacheField>
    <cacheField name="Campo1" numFmtId="0" formula=" 0" databaseField="0"/>
    <cacheField name="Average of Total Actual Spend" numFmtId="0" formula="Total_Actual_USD/Trip_ID" databaseField="0"/>
  </cacheFields>
  <extLst>
    <ext xmlns:x14="http://schemas.microsoft.com/office/spreadsheetml/2009/9/main" uri="{725AE2AE-9491-48be-B2B4-4EB974FC3084}">
      <x14:pivotCacheDefinition pivotCacheId="20791161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1">
  <r>
    <s v="TR-0001"/>
    <s v="Leo Torres"/>
    <x v="0"/>
    <x v="0"/>
    <s v="Orlando, FL"/>
    <x v="0"/>
    <x v="0"/>
    <s v="Industry Conference"/>
    <s v="Direct Airline"/>
    <d v="2026-02-23T00:00:00"/>
    <d v="2026-03-13T00:00:00"/>
    <d v="2026-03-15T00:00:00"/>
    <x v="0"/>
    <x v="0"/>
    <n v="3"/>
    <n v="18"/>
    <n v="2"/>
    <x v="0"/>
    <x v="0"/>
    <n v="586.16999999999996"/>
    <n v="839.02"/>
    <n v="134.16999999999999"/>
    <n v="120.91"/>
    <n v="8.48"/>
    <n v="1688.7500000000002"/>
    <n v="1541.65"/>
    <n v="-147.10000000000014"/>
    <n v="-9.5417247754029863E-2"/>
    <x v="0"/>
    <s v="Approved"/>
    <s v="Pending"/>
    <x v="0"/>
    <s v="No"/>
    <x v="0"/>
  </r>
  <r>
    <s v="TR-0002"/>
    <s v="Sophia Foster"/>
    <x v="1"/>
    <x v="1"/>
    <s v="Orlando, FL"/>
    <x v="1"/>
    <x v="1"/>
    <s v="Industry Conference"/>
    <s v="Travel Management Company"/>
    <d v="2026-03-11T00:00:00"/>
    <d v="2026-04-12T00:00:00"/>
    <d v="2026-04-19T00:00:00"/>
    <x v="1"/>
    <x v="1"/>
    <n v="4"/>
    <n v="32"/>
    <n v="7"/>
    <x v="1"/>
    <x v="1"/>
    <n v="775.19"/>
    <n v="2328.67"/>
    <n v="262.14999999999998"/>
    <n v="527.87"/>
    <n v="52.83"/>
    <n v="3946.71"/>
    <n v="3660.37"/>
    <n v="-286.34000000000015"/>
    <n v="-7.8227064477088423E-2"/>
    <x v="0"/>
    <s v="Approved"/>
    <s v="Pending"/>
    <x v="1"/>
    <s v="Yes"/>
    <x v="1"/>
  </r>
  <r>
    <s v="TR-0003"/>
    <s v="Mariana Brooks"/>
    <x v="2"/>
    <x v="2"/>
    <s v="Orlando, FL"/>
    <x v="2"/>
    <x v="0"/>
    <s v="Site Visit"/>
    <s v="Direct Airline"/>
    <d v="2026-05-02T00:00:00"/>
    <d v="2026-06-14T00:00:00"/>
    <d v="2026-06-17T00:00:00"/>
    <x v="2"/>
    <x v="2"/>
    <n v="6"/>
    <n v="43"/>
    <n v="3"/>
    <x v="2"/>
    <x v="2"/>
    <n v="667.04"/>
    <n v="420.27"/>
    <n v="101.73"/>
    <n v="168.51"/>
    <n v="167.24"/>
    <n v="1524.79"/>
    <n v="1743.78"/>
    <n v="218.99"/>
    <n v="0.12558350250605008"/>
    <x v="1"/>
    <s v="Approved"/>
    <s v="Approved"/>
    <x v="0"/>
    <s v="No"/>
    <x v="0"/>
  </r>
  <r>
    <s v="TR-0004"/>
    <s v="Paula Murphy"/>
    <x v="2"/>
    <x v="2"/>
    <s v="Orlando, FL"/>
    <x v="3"/>
    <x v="0"/>
    <s v="Strategy Session"/>
    <s v="Executive Assistant Booking"/>
    <d v="2026-01-19T00:00:00"/>
    <d v="2026-01-26T00:00:00"/>
    <d v="2026-01-30T00:00:00"/>
    <x v="3"/>
    <x v="3"/>
    <n v="1"/>
    <n v="7"/>
    <n v="4"/>
    <x v="2"/>
    <x v="3"/>
    <n v="304.12"/>
    <n v="897.71"/>
    <n v="151.15"/>
    <n v="451.45"/>
    <n v="167.2"/>
    <n v="1971.63"/>
    <n v="2181.77"/>
    <n v="210.13999999999987"/>
    <n v="9.6316293651484752E-2"/>
    <x v="1"/>
    <s v="Approved"/>
    <s v="Pending"/>
    <x v="0"/>
    <s v="No"/>
    <x v="0"/>
  </r>
  <r>
    <s v="TR-0005"/>
    <s v="David Salazar"/>
    <x v="0"/>
    <x v="0"/>
    <s v="Orlando, FL"/>
    <x v="4"/>
    <x v="1"/>
    <s v="Site Visit"/>
    <s v="Corporate Travel Portal"/>
    <d v="2026-05-07T00:00:00"/>
    <d v="2026-05-17T00:00:00"/>
    <d v="2026-05-23T00:00:00"/>
    <x v="4"/>
    <x v="4"/>
    <n v="5"/>
    <n v="10"/>
    <n v="6"/>
    <x v="2"/>
    <x v="4"/>
    <n v="1347.14"/>
    <n v="1402.33"/>
    <n v="125.05"/>
    <n v="355.56"/>
    <n v="113.6"/>
    <n v="3343.6800000000003"/>
    <n v="3172.09"/>
    <n v="-171.59000000000015"/>
    <n v="-5.4093673256433501E-2"/>
    <x v="0"/>
    <s v="Approved"/>
    <s v="Reimbursed"/>
    <x v="0"/>
    <s v="No"/>
    <x v="0"/>
  </r>
  <r>
    <s v="TR-0006"/>
    <s v="Henry Alvarez"/>
    <x v="0"/>
    <x v="3"/>
    <s v="Orlando, FL"/>
    <x v="5"/>
    <x v="0"/>
    <s v="Strategy Session"/>
    <s v="Corporate Travel Portal"/>
    <d v="2026-06-09T00:00:00"/>
    <d v="2026-06-25T00:00:00"/>
    <d v="2026-06-29T00:00:00"/>
    <x v="2"/>
    <x v="2"/>
    <n v="6"/>
    <n v="16"/>
    <n v="4"/>
    <x v="0"/>
    <x v="3"/>
    <n v="479.59"/>
    <n v="820.52"/>
    <n v="61.51"/>
    <n v="378.16"/>
    <n v="63.77"/>
    <n v="1803.55"/>
    <n v="1809.56"/>
    <n v="6.0099999999999909"/>
    <n v="3.3212493644863895E-3"/>
    <x v="1"/>
    <s v="Approved"/>
    <s v="Pending"/>
    <x v="0"/>
    <s v="No"/>
    <x v="0"/>
  </r>
  <r>
    <s v="TR-0007"/>
    <s v="Isabella Hayes"/>
    <x v="2"/>
    <x v="1"/>
    <s v="Orlando, FL"/>
    <x v="6"/>
    <x v="0"/>
    <s v="Site Visit"/>
    <s v="Travel Management Company"/>
    <d v="2026-04-09T00:00:00"/>
    <d v="2026-04-18T00:00:00"/>
    <d v="2026-04-21T00:00:00"/>
    <x v="1"/>
    <x v="1"/>
    <n v="4"/>
    <n v="9"/>
    <n v="3"/>
    <x v="2"/>
    <x v="5"/>
    <n v="289.89999999999998"/>
    <n v="508.07"/>
    <n v="125.96"/>
    <n v="322.41000000000003"/>
    <n v="13.57"/>
    <n v="1259.9100000000001"/>
    <n v="1414.13"/>
    <n v="154.22000000000003"/>
    <n v="0.10905645166993135"/>
    <x v="1"/>
    <s v="Pending"/>
    <s v="Submitted"/>
    <x v="0"/>
    <s v="No"/>
    <x v="0"/>
  </r>
  <r>
    <s v="TR-0008"/>
    <s v="Lucia Mitchell"/>
    <x v="3"/>
    <x v="1"/>
    <s v="Orlando, FL"/>
    <x v="7"/>
    <x v="0"/>
    <s v="Leadership Workshop"/>
    <s v="Corporate Travel Portal"/>
    <d v="2026-01-15T00:00:00"/>
    <d v="2026-01-28T00:00:00"/>
    <d v="2026-01-30T00:00:00"/>
    <x v="3"/>
    <x v="3"/>
    <n v="1"/>
    <n v="13"/>
    <n v="2"/>
    <x v="3"/>
    <x v="3"/>
    <n v="438.59"/>
    <n v="463.45"/>
    <n v="111.32"/>
    <n v="228.24"/>
    <n v="47.74"/>
    <n v="1289.3399999999999"/>
    <n v="1437.9"/>
    <n v="148.56000000000017"/>
    <n v="0.10331733778426884"/>
    <x v="1"/>
    <s v="Approved"/>
    <s v="Reimbursed"/>
    <x v="0"/>
    <s v="No"/>
    <x v="0"/>
  </r>
  <r>
    <s v="TR-0009"/>
    <s v="Nicholas Herrera"/>
    <x v="0"/>
    <x v="1"/>
    <s v="Orlando, FL"/>
    <x v="8"/>
    <x v="1"/>
    <s v="Site Visit"/>
    <s v="Travel Management Company"/>
    <d v="2026-01-23T00:00:00"/>
    <d v="2026-02-13T00:00:00"/>
    <d v="2026-02-17T00:00:00"/>
    <x v="5"/>
    <x v="5"/>
    <n v="2"/>
    <n v="21"/>
    <n v="4"/>
    <x v="4"/>
    <x v="1"/>
    <n v="762.88"/>
    <n v="1203.97"/>
    <n v="195.71"/>
    <n v="424.65"/>
    <n v="28.34"/>
    <n v="2615.5500000000002"/>
    <n v="3055.57"/>
    <n v="440.02"/>
    <n v="0.14400586469954868"/>
    <x v="1"/>
    <s v="Approved"/>
    <s v="Approved"/>
    <x v="0"/>
    <s v="No"/>
    <x v="0"/>
  </r>
  <r>
    <s v="TR-0010"/>
    <s v="Sophia Foster"/>
    <x v="1"/>
    <x v="1"/>
    <s v="Orlando, FL"/>
    <x v="9"/>
    <x v="0"/>
    <s v="Site Visit"/>
    <s v="Travel Management Company"/>
    <d v="2026-03-10T00:00:00"/>
    <d v="2026-04-18T00:00:00"/>
    <d v="2026-04-19T00:00:00"/>
    <x v="1"/>
    <x v="1"/>
    <n v="4"/>
    <n v="39"/>
    <n v="1"/>
    <x v="0"/>
    <x v="1"/>
    <n v="407.82"/>
    <n v="324.56"/>
    <n v="208.57"/>
    <n v="67.260000000000005"/>
    <n v="128.91"/>
    <n v="1137.1200000000001"/>
    <n v="1082.0899999999999"/>
    <n v="-55.0300000000002"/>
    <n v="-5.0855289301259786E-2"/>
    <x v="0"/>
    <s v="Approved"/>
    <s v="Approved"/>
    <x v="0"/>
    <s v="No"/>
    <x v="0"/>
  </r>
  <r>
    <s v="TR-0011"/>
    <s v="Benjamin Vargas"/>
    <x v="0"/>
    <x v="4"/>
    <s v="Orlando, FL"/>
    <x v="4"/>
    <x v="1"/>
    <s v="Board Meeting"/>
    <s v="Corporate Travel Portal"/>
    <d v="2026-03-23T00:00:00"/>
    <d v="2026-03-26T00:00:00"/>
    <d v="2026-03-29T00:00:00"/>
    <x v="0"/>
    <x v="0"/>
    <n v="3"/>
    <n v="3"/>
    <n v="3"/>
    <x v="1"/>
    <x v="4"/>
    <n v="1183.32"/>
    <n v="1101.96"/>
    <n v="290.22000000000003"/>
    <n v="323.27"/>
    <n v="66.510000000000005"/>
    <n v="2965.28"/>
    <n v="2749.78"/>
    <n v="-215.5"/>
    <n v="-7.8369905956112845E-2"/>
    <x v="0"/>
    <s v="Pending"/>
    <s v="Pending"/>
    <x v="0"/>
    <s v="No"/>
    <x v="0"/>
  </r>
  <r>
    <s v="TR-0012"/>
    <s v="Ryan Mendoza"/>
    <x v="0"/>
    <x v="5"/>
    <s v="Orlando, FL"/>
    <x v="7"/>
    <x v="0"/>
    <s v="Client Meeting"/>
    <s v="Corporate Travel Portal"/>
    <d v="2026-05-10T00:00:00"/>
    <d v="2026-06-24T00:00:00"/>
    <d v="2026-06-27T00:00:00"/>
    <x v="2"/>
    <x v="2"/>
    <n v="6"/>
    <n v="45"/>
    <n v="3"/>
    <x v="2"/>
    <x v="6"/>
    <n v="245.35"/>
    <n v="823.41"/>
    <n v="150.85"/>
    <n v="294.17"/>
    <n v="36.65"/>
    <n v="1550.43"/>
    <n v="1659.38"/>
    <n v="108.95000000000005"/>
    <n v="6.5657052634116378E-2"/>
    <x v="1"/>
    <s v="Approved"/>
    <s v="Approved"/>
    <x v="0"/>
    <s v="No"/>
    <x v="0"/>
  </r>
  <r>
    <s v="TR-0013"/>
    <s v="Noah Martinez"/>
    <x v="2"/>
    <x v="0"/>
    <s v="Orlando, FL"/>
    <x v="3"/>
    <x v="0"/>
    <s v="Executive Meeting"/>
    <s v="Direct Airline"/>
    <d v="2026-05-27T00:00:00"/>
    <d v="2026-06-16T00:00:00"/>
    <d v="2026-06-20T00:00:00"/>
    <x v="2"/>
    <x v="2"/>
    <n v="6"/>
    <n v="20"/>
    <n v="4"/>
    <x v="4"/>
    <x v="2"/>
    <n v="573.15"/>
    <n v="727.65"/>
    <n v="174.72"/>
    <n v="352.4"/>
    <n v="76.98"/>
    <n v="1904.9"/>
    <n v="1681.84"/>
    <n v="-223.06000000000017"/>
    <n v="-0.13262854968367987"/>
    <x v="0"/>
    <s v="Approved"/>
    <s v="Pending"/>
    <x v="1"/>
    <s v="Yes"/>
    <x v="2"/>
  </r>
  <r>
    <s v="TR-0014"/>
    <s v="Jonathan Delgado"/>
    <x v="0"/>
    <x v="5"/>
    <s v="Orlando, FL"/>
    <x v="10"/>
    <x v="1"/>
    <s v="Executive Meeting"/>
    <s v="Direct Airline"/>
    <d v="2026-01-31T00:00:00"/>
    <d v="2026-02-11T00:00:00"/>
    <d v="2026-02-17T00:00:00"/>
    <x v="5"/>
    <x v="5"/>
    <n v="2"/>
    <n v="11"/>
    <n v="6"/>
    <x v="5"/>
    <x v="2"/>
    <n v="1575.73"/>
    <n v="2121.1999999999998"/>
    <n v="294.73"/>
    <n v="405.63"/>
    <n v="44.92"/>
    <n v="4442.21"/>
    <n v="4046.13"/>
    <n v="-396.07999999999993"/>
    <n v="-9.7891071221142156E-2"/>
    <x v="0"/>
    <s v="Pending"/>
    <s v="Reimbursed"/>
    <x v="1"/>
    <s v="Yes"/>
    <x v="1"/>
  </r>
  <r>
    <s v="TR-0015"/>
    <s v="Ava Price"/>
    <x v="0"/>
    <x v="6"/>
    <s v="Orlando, FL"/>
    <x v="11"/>
    <x v="0"/>
    <s v="Vendor Negotiation"/>
    <s v="Corporate Travel Portal"/>
    <d v="2026-04-06T00:00:00"/>
    <d v="2026-04-20T00:00:00"/>
    <d v="2026-04-21T00:00:00"/>
    <x v="1"/>
    <x v="1"/>
    <n v="4"/>
    <n v="14"/>
    <n v="1"/>
    <x v="3"/>
    <x v="5"/>
    <n v="658.8"/>
    <n v="241.62"/>
    <n v="197.63"/>
    <n v="106.52"/>
    <n v="40.04"/>
    <n v="1244.6099999999999"/>
    <n v="1400.16"/>
    <n v="155.55000000000018"/>
    <n v="0.11109444634898881"/>
    <x v="1"/>
    <s v="Approved"/>
    <s v="Reimbursed"/>
    <x v="0"/>
    <s v="No"/>
    <x v="0"/>
  </r>
  <r>
    <s v="TR-0016"/>
    <s v="Valentina Morgan"/>
    <x v="3"/>
    <x v="2"/>
    <s v="Orlando, FL"/>
    <x v="9"/>
    <x v="0"/>
    <s v="Vendor Negotiation"/>
    <s v="Executive Assistant Booking"/>
    <d v="2025-12-14T00:00:00"/>
    <d v="2026-01-11T00:00:00"/>
    <d v="2026-01-13T00:00:00"/>
    <x v="3"/>
    <x v="3"/>
    <n v="1"/>
    <n v="28"/>
    <n v="2"/>
    <x v="5"/>
    <x v="4"/>
    <n v="369.1"/>
    <n v="696.59"/>
    <n v="114.94"/>
    <n v="227.74"/>
    <n v="96.52"/>
    <n v="1504.89"/>
    <n v="1748.34"/>
    <n v="243.44999999999982"/>
    <n v="0.13924637084319974"/>
    <x v="1"/>
    <s v="Approved"/>
    <s v="Reimbursed"/>
    <x v="0"/>
    <s v="No"/>
    <x v="0"/>
  </r>
  <r>
    <s v="TR-0017"/>
    <s v="Sofia Collins"/>
    <x v="0"/>
    <x v="1"/>
    <s v="Orlando, FL"/>
    <x v="6"/>
    <x v="0"/>
    <s v="Vendor Negotiation"/>
    <s v="Corporate Travel Portal"/>
    <d v="2026-01-07T00:00:00"/>
    <d v="2026-02-01T00:00:00"/>
    <d v="2026-02-05T00:00:00"/>
    <x v="5"/>
    <x v="5"/>
    <n v="2"/>
    <n v="25"/>
    <n v="4"/>
    <x v="3"/>
    <x v="4"/>
    <n v="538.66"/>
    <n v="723.02"/>
    <n v="169.04"/>
    <n v="220.41"/>
    <n v="166.6"/>
    <n v="1817.7299999999998"/>
    <n v="1893.23"/>
    <n v="75.500000000000227"/>
    <n v="3.9878937054663312E-2"/>
    <x v="1"/>
    <s v="Approved"/>
    <s v="Reimbursed"/>
    <x v="0"/>
    <s v="No"/>
    <x v="0"/>
  </r>
  <r>
    <s v="TR-0018"/>
    <s v="Samuel Castillo"/>
    <x v="1"/>
    <x v="0"/>
    <s v="Orlando, FL"/>
    <x v="12"/>
    <x v="0"/>
    <s v="Industry Conference"/>
    <s v="Corporate Travel Portal"/>
    <d v="2026-06-01T00:00:00"/>
    <d v="2026-06-23T00:00:00"/>
    <d v="2026-06-24T00:00:00"/>
    <x v="2"/>
    <x v="2"/>
    <n v="6"/>
    <n v="22"/>
    <n v="1"/>
    <x v="3"/>
    <x v="2"/>
    <n v="378.52"/>
    <n v="160.37"/>
    <n v="118.58"/>
    <n v="111.42"/>
    <n v="121.92"/>
    <n v="890.81"/>
    <n v="1025.18"/>
    <n v="134.37000000000012"/>
    <n v="0.13106966581478385"/>
    <x v="1"/>
    <s v="Pending"/>
    <s v="Approved"/>
    <x v="0"/>
    <s v="No"/>
    <x v="0"/>
  </r>
  <r>
    <s v="TR-0019"/>
    <s v="Nicholas Herrera"/>
    <x v="0"/>
    <x v="1"/>
    <s v="Orlando, FL"/>
    <x v="7"/>
    <x v="0"/>
    <s v="Leadership Workshop"/>
    <s v="Travel Management Company"/>
    <d v="2026-03-07T00:00:00"/>
    <d v="2026-03-23T00:00:00"/>
    <d v="2026-03-26T00:00:00"/>
    <x v="0"/>
    <x v="0"/>
    <n v="3"/>
    <n v="16"/>
    <n v="3"/>
    <x v="0"/>
    <x v="2"/>
    <n v="462.03"/>
    <n v="788.22"/>
    <n v="127.81"/>
    <n v="327.20999999999998"/>
    <n v="143.28"/>
    <n v="1848.55"/>
    <n v="1720.83"/>
    <n v="-127.72000000000003"/>
    <n v="-7.4219998489101213E-2"/>
    <x v="0"/>
    <s v="Approved"/>
    <s v="Reimbursed"/>
    <x v="0"/>
    <s v="No"/>
    <x v="0"/>
  </r>
  <r>
    <s v="TR-0020"/>
    <s v="Sebastian Medina"/>
    <x v="2"/>
    <x v="7"/>
    <s v="Orlando, FL"/>
    <x v="12"/>
    <x v="0"/>
    <s v="Site Visit"/>
    <s v="Corporate Travel Portal"/>
    <d v="2026-01-06T00:00:00"/>
    <d v="2026-01-28T00:00:00"/>
    <d v="2026-01-30T00:00:00"/>
    <x v="3"/>
    <x v="3"/>
    <n v="1"/>
    <n v="22"/>
    <n v="2"/>
    <x v="2"/>
    <x v="7"/>
    <n v="349.56"/>
    <n v="432.04"/>
    <n v="193.7"/>
    <n v="118.74"/>
    <n v="74.599999999999994"/>
    <n v="1168.6399999999999"/>
    <n v="1249.19"/>
    <n v="80.550000000000182"/>
    <n v="6.4481784196159256E-2"/>
    <x v="1"/>
    <s v="Approved"/>
    <s v="Pending"/>
    <x v="0"/>
    <s v="No"/>
    <x v="0"/>
  </r>
  <r>
    <s v="TR-0021"/>
    <s v="Thomas Ramirez"/>
    <x v="3"/>
    <x v="5"/>
    <s v="Orlando, FL"/>
    <x v="1"/>
    <x v="1"/>
    <s v="Executive Meeting"/>
    <s v="Corporate Travel Portal"/>
    <d v="2026-01-23T00:00:00"/>
    <d v="2026-03-08T00:00:00"/>
    <d v="2026-03-12T00:00:00"/>
    <x v="0"/>
    <x v="0"/>
    <n v="3"/>
    <n v="44"/>
    <n v="4"/>
    <x v="4"/>
    <x v="0"/>
    <n v="1457.11"/>
    <n v="1113.06"/>
    <n v="209.35"/>
    <n v="440.19"/>
    <n v="21.84"/>
    <n v="3241.55"/>
    <n v="2982.23"/>
    <n v="-259.32000000000016"/>
    <n v="-8.6955063828075024E-2"/>
    <x v="0"/>
    <s v="Approved"/>
    <s v="Pending"/>
    <x v="0"/>
    <s v="No"/>
    <x v="0"/>
  </r>
  <r>
    <s v="TR-0022"/>
    <s v="Nicholas Herrera"/>
    <x v="0"/>
    <x v="1"/>
    <s v="Orlando, FL"/>
    <x v="12"/>
    <x v="0"/>
    <s v="Board Meeting"/>
    <s v="Travel Management Company"/>
    <d v="2026-03-21T00:00:00"/>
    <d v="2026-04-28T00:00:00"/>
    <d v="2026-05-02T00:00:00"/>
    <x v="1"/>
    <x v="1"/>
    <n v="4"/>
    <n v="38"/>
    <n v="4"/>
    <x v="2"/>
    <x v="3"/>
    <n v="596.36"/>
    <n v="737.48"/>
    <n v="181.09"/>
    <n v="336.3"/>
    <n v="43.06"/>
    <n v="1894.29"/>
    <n v="1916.95"/>
    <n v="22.660000000000082"/>
    <n v="1.1820861263987105E-2"/>
    <x v="1"/>
    <s v="Approved"/>
    <s v="Approved"/>
    <x v="0"/>
    <s v="No"/>
    <x v="0"/>
  </r>
  <r>
    <s v="TR-0023"/>
    <s v="Grace Carter"/>
    <x v="2"/>
    <x v="3"/>
    <s v="Orlando, FL"/>
    <x v="10"/>
    <x v="1"/>
    <s v="Site Visit"/>
    <s v="Travel Management Company"/>
    <d v="2026-01-13T00:00:00"/>
    <d v="2026-01-25T00:00:00"/>
    <d v="2026-01-29T00:00:00"/>
    <x v="3"/>
    <x v="3"/>
    <n v="1"/>
    <n v="12"/>
    <n v="4"/>
    <x v="6"/>
    <x v="7"/>
    <n v="770.65"/>
    <n v="1069.78"/>
    <n v="205.65"/>
    <n v="319.79000000000002"/>
    <n v="37.229999999999997"/>
    <n v="2403.1"/>
    <n v="2417.62"/>
    <n v="14.519999999999982"/>
    <n v="6.0059066354513869E-3"/>
    <x v="1"/>
    <s v="Pending"/>
    <s v="Pending"/>
    <x v="0"/>
    <s v="No"/>
    <x v="0"/>
  </r>
  <r>
    <s v="TR-0024"/>
    <s v="Paula Murphy"/>
    <x v="2"/>
    <x v="2"/>
    <s v="Orlando, FL"/>
    <x v="1"/>
    <x v="1"/>
    <s v="Industry Conference"/>
    <s v="Travel Management Company"/>
    <d v="2026-04-12T00:00:00"/>
    <d v="2026-05-07T00:00:00"/>
    <d v="2026-05-10T00:00:00"/>
    <x v="4"/>
    <x v="4"/>
    <n v="5"/>
    <n v="25"/>
    <n v="3"/>
    <x v="6"/>
    <x v="0"/>
    <n v="1508.1"/>
    <n v="1025.92"/>
    <n v="294.45"/>
    <n v="252.88"/>
    <n v="49.13"/>
    <n v="3130.48"/>
    <n v="3210.91"/>
    <n v="80.429999999999836"/>
    <n v="2.5048973655443424E-2"/>
    <x v="1"/>
    <s v="Approved"/>
    <s v="Reimbursed"/>
    <x v="0"/>
    <s v="No"/>
    <x v="0"/>
  </r>
  <r>
    <s v="TR-0025"/>
    <s v="Julian Paredes"/>
    <x v="0"/>
    <x v="7"/>
    <s v="Orlando, FL"/>
    <x v="11"/>
    <x v="0"/>
    <s v="Executive Meeting"/>
    <s v="Corporate Travel Portal"/>
    <d v="2026-03-23T00:00:00"/>
    <d v="2026-05-04T00:00:00"/>
    <d v="2026-05-06T00:00:00"/>
    <x v="4"/>
    <x v="4"/>
    <n v="5"/>
    <n v="42"/>
    <n v="2"/>
    <x v="3"/>
    <x v="1"/>
    <n v="425.54"/>
    <n v="512.69000000000005"/>
    <n v="90.53"/>
    <n v="149.28"/>
    <n v="81.849999999999994"/>
    <n v="1259.8899999999999"/>
    <n v="1236.27"/>
    <n v="-23.619999999999891"/>
    <n v="-1.9105858752537789E-2"/>
    <x v="0"/>
    <s v="Approved"/>
    <s v="Reimbursed"/>
    <x v="0"/>
    <s v="No"/>
    <x v="0"/>
  </r>
  <r>
    <s v="TR-0026"/>
    <s v="Caroline Evans"/>
    <x v="3"/>
    <x v="3"/>
    <s v="Orlando, FL"/>
    <x v="5"/>
    <x v="0"/>
    <s v="Executive Meeting"/>
    <s v="Travel Management Company"/>
    <d v="2026-01-21T00:00:00"/>
    <d v="2026-01-25T00:00:00"/>
    <d v="2026-01-29T00:00:00"/>
    <x v="3"/>
    <x v="3"/>
    <n v="1"/>
    <n v="4"/>
    <n v="4"/>
    <x v="5"/>
    <x v="5"/>
    <n v="893.14"/>
    <n v="1042.71"/>
    <n v="211.18"/>
    <n v="267.85000000000002"/>
    <n v="3.67"/>
    <n v="2418.5499999999997"/>
    <n v="2238.89"/>
    <n v="-179.65999999999985"/>
    <n v="-8.0245121466440902E-2"/>
    <x v="0"/>
    <s v="Approved"/>
    <s v="Reimbursed"/>
    <x v="0"/>
    <s v="Yes"/>
    <x v="3"/>
  </r>
  <r>
    <s v="TR-0027"/>
    <s v="Leo Torres"/>
    <x v="0"/>
    <x v="0"/>
    <s v="Orlando, FL"/>
    <x v="5"/>
    <x v="0"/>
    <s v="Client Meeting"/>
    <s v="Corporate Travel Portal"/>
    <d v="2026-02-27T00:00:00"/>
    <d v="2026-04-09T00:00:00"/>
    <d v="2026-04-11T00:00:00"/>
    <x v="1"/>
    <x v="1"/>
    <n v="4"/>
    <n v="41"/>
    <n v="2"/>
    <x v="2"/>
    <x v="6"/>
    <n v="197.95"/>
    <n v="496.75"/>
    <n v="212.68"/>
    <n v="157.6"/>
    <n v="128.69999999999999"/>
    <n v="1193.68"/>
    <n v="1077.6500000000001"/>
    <n v="-116.02999999999997"/>
    <n v="-0.10766946596761469"/>
    <x v="0"/>
    <s v="Approved"/>
    <s v="Submitted"/>
    <x v="0"/>
    <s v="Yes"/>
    <x v="2"/>
  </r>
  <r>
    <s v="TR-0028"/>
    <s v="Paula Murphy"/>
    <x v="2"/>
    <x v="2"/>
    <s v="Orlando, FL"/>
    <x v="6"/>
    <x v="0"/>
    <s v="Vendor Negotiation"/>
    <s v="Corporate Travel Portal"/>
    <d v="2026-02-17T00:00:00"/>
    <d v="2026-04-03T00:00:00"/>
    <d v="2026-04-07T00:00:00"/>
    <x v="1"/>
    <x v="1"/>
    <n v="4"/>
    <n v="45"/>
    <n v="4"/>
    <x v="4"/>
    <x v="2"/>
    <n v="404.05"/>
    <n v="837.45"/>
    <n v="108.38"/>
    <n v="433.98"/>
    <n v="82.75"/>
    <n v="1866.6100000000001"/>
    <n v="1728.29"/>
    <n v="-138.32000000000016"/>
    <n v="-8.0032864854856625E-2"/>
    <x v="0"/>
    <s v="Approved"/>
    <s v="Pending"/>
    <x v="0"/>
    <s v="No"/>
    <x v="0"/>
  </r>
  <r>
    <s v="TR-0029"/>
    <s v="Alexander Gomez"/>
    <x v="0"/>
    <x v="0"/>
    <s v="Orlando, FL"/>
    <x v="10"/>
    <x v="1"/>
    <s v="Industry Conference"/>
    <s v="Direct Airline"/>
    <d v="2026-04-08T00:00:00"/>
    <d v="2026-05-08T00:00:00"/>
    <d v="2026-05-14T00:00:00"/>
    <x v="4"/>
    <x v="4"/>
    <n v="5"/>
    <n v="30"/>
    <n v="6"/>
    <x v="5"/>
    <x v="5"/>
    <n v="746.15"/>
    <n v="1418"/>
    <n v="186.18"/>
    <n v="549.72"/>
    <n v="68.22"/>
    <n v="2968.27"/>
    <n v="2637.63"/>
    <n v="-330.63999999999987"/>
    <n v="-0.12535495880771749"/>
    <x v="0"/>
    <s v="Approved"/>
    <s v="Approved"/>
    <x v="0"/>
    <s v="Yes"/>
    <x v="2"/>
  </r>
  <r>
    <s v="TR-0030"/>
    <s v="Samuel Castillo"/>
    <x v="1"/>
    <x v="0"/>
    <s v="Orlando, FL"/>
    <x v="5"/>
    <x v="0"/>
    <s v="Executive Meeting"/>
    <s v="Corporate Travel Portal"/>
    <d v="2026-04-29T00:00:00"/>
    <d v="2026-06-06T00:00:00"/>
    <d v="2026-06-09T00:00:00"/>
    <x v="2"/>
    <x v="2"/>
    <n v="6"/>
    <n v="38"/>
    <n v="3"/>
    <x v="0"/>
    <x v="5"/>
    <n v="557.69000000000005"/>
    <n v="783.92"/>
    <n v="165.86"/>
    <n v="281.26"/>
    <n v="88.35"/>
    <n v="1877.0800000000002"/>
    <n v="2098.35"/>
    <n v="221.26999999999975"/>
    <n v="0.10544951986084293"/>
    <x v="1"/>
    <s v="Approved"/>
    <s v="Reimbursed"/>
    <x v="0"/>
    <s v="No"/>
    <x v="0"/>
  </r>
  <r>
    <s v="TR-0031"/>
    <s v="Henry Alvarez"/>
    <x v="0"/>
    <x v="3"/>
    <s v="Orlando, FL"/>
    <x v="13"/>
    <x v="0"/>
    <s v="Vendor Negotiation"/>
    <s v="Corporate Travel Portal"/>
    <d v="2026-05-21T00:00:00"/>
    <d v="2026-06-23T00:00:00"/>
    <d v="2026-06-26T00:00:00"/>
    <x v="2"/>
    <x v="2"/>
    <n v="6"/>
    <n v="33"/>
    <n v="3"/>
    <x v="3"/>
    <x v="2"/>
    <n v="548.71"/>
    <n v="766.22"/>
    <n v="100.22"/>
    <n v="298.72000000000003"/>
    <n v="171.16"/>
    <n v="1885.0300000000002"/>
    <n v="2049.12"/>
    <n v="164.08999999999969"/>
    <n v="8.0078277504489592E-2"/>
    <x v="1"/>
    <s v="Approved"/>
    <s v="Approved"/>
    <x v="0"/>
    <s v="No"/>
    <x v="0"/>
  </r>
  <r>
    <s v="TR-0032"/>
    <s v="Alexander Gomez"/>
    <x v="0"/>
    <x v="0"/>
    <s v="Orlando, FL"/>
    <x v="14"/>
    <x v="1"/>
    <s v="Site Visit"/>
    <s v="Corporate Travel Portal"/>
    <d v="2026-05-28T00:00:00"/>
    <d v="2026-06-06T00:00:00"/>
    <d v="2026-06-11T00:00:00"/>
    <x v="2"/>
    <x v="2"/>
    <n v="6"/>
    <n v="9"/>
    <n v="5"/>
    <x v="5"/>
    <x v="5"/>
    <n v="1032.49"/>
    <n v="1622.62"/>
    <n v="101.65"/>
    <n v="288.64999999999998"/>
    <n v="9.81"/>
    <n v="3055.22"/>
    <n v="2956.36"/>
    <n v="-98.859999999999673"/>
    <n v="-3.3439770528622924E-2"/>
    <x v="0"/>
    <s v="Approved"/>
    <s v="Pending"/>
    <x v="1"/>
    <s v="Yes"/>
    <x v="1"/>
  </r>
  <r>
    <s v="TR-0033"/>
    <s v="Paula Murphy"/>
    <x v="2"/>
    <x v="2"/>
    <s v="Orlando, FL"/>
    <x v="13"/>
    <x v="0"/>
    <s v="Vendor Negotiation"/>
    <s v="Corporate Travel Portal"/>
    <d v="2026-04-04T00:00:00"/>
    <d v="2026-05-05T00:00:00"/>
    <d v="2026-05-09T00:00:00"/>
    <x v="4"/>
    <x v="4"/>
    <n v="5"/>
    <n v="31"/>
    <n v="4"/>
    <x v="2"/>
    <x v="1"/>
    <n v="716.07"/>
    <n v="874.72"/>
    <n v="145.97999999999999"/>
    <n v="384.75"/>
    <n v="27.31"/>
    <n v="2148.83"/>
    <n v="2413.87"/>
    <n v="265.03999999999996"/>
    <n v="0.10979878783861599"/>
    <x v="1"/>
    <s v="Approved"/>
    <s v="Submitted"/>
    <x v="1"/>
    <s v="Yes"/>
    <x v="1"/>
  </r>
  <r>
    <s v="TR-0034"/>
    <s v="Diana Gray"/>
    <x v="3"/>
    <x v="3"/>
    <s v="Orlando, FL"/>
    <x v="9"/>
    <x v="0"/>
    <s v="Board Meeting"/>
    <s v="Corporate Travel Portal"/>
    <d v="2026-04-17T00:00:00"/>
    <d v="2026-05-18T00:00:00"/>
    <d v="2026-05-22T00:00:00"/>
    <x v="4"/>
    <x v="4"/>
    <n v="5"/>
    <n v="31"/>
    <n v="4"/>
    <x v="5"/>
    <x v="0"/>
    <n v="513.77"/>
    <n v="1472.07"/>
    <n v="210.83"/>
    <n v="269.87"/>
    <n v="37.979999999999997"/>
    <n v="2504.52"/>
    <n v="2700.19"/>
    <n v="195.67000000000007"/>
    <n v="7.2465270962413786E-2"/>
    <x v="1"/>
    <s v="Approved"/>
    <s v="Approved"/>
    <x v="0"/>
    <s v="No"/>
    <x v="0"/>
  </r>
  <r>
    <s v="TR-0035"/>
    <s v="Sophia Foster"/>
    <x v="1"/>
    <x v="1"/>
    <s v="Orlando, FL"/>
    <x v="11"/>
    <x v="0"/>
    <s v="Board Meeting"/>
    <s v="Corporate Travel Portal"/>
    <d v="2025-12-05T00:00:00"/>
    <d v="2026-01-05T00:00:00"/>
    <d v="2026-01-09T00:00:00"/>
    <x v="3"/>
    <x v="3"/>
    <n v="1"/>
    <n v="31"/>
    <n v="4"/>
    <x v="5"/>
    <x v="1"/>
    <n v="564.11"/>
    <n v="1243.23"/>
    <n v="165.29"/>
    <n v="441.74"/>
    <n v="141.81"/>
    <n v="2556.1799999999998"/>
    <n v="2728.77"/>
    <n v="172.59000000000015"/>
    <n v="6.3248276696093897E-2"/>
    <x v="1"/>
    <s v="Approved"/>
    <s v="Reimbursed"/>
    <x v="0"/>
    <s v="No"/>
    <x v="0"/>
  </r>
  <r>
    <s v="TR-0036"/>
    <s v="Valentina Morgan"/>
    <x v="3"/>
    <x v="2"/>
    <s v="Orlando, FL"/>
    <x v="0"/>
    <x v="0"/>
    <s v="Executive Meeting"/>
    <s v="Travel Management Company"/>
    <d v="2026-03-07T00:00:00"/>
    <d v="2026-03-14T00:00:00"/>
    <d v="2026-03-16T00:00:00"/>
    <x v="0"/>
    <x v="0"/>
    <n v="3"/>
    <n v="7"/>
    <n v="2"/>
    <x v="2"/>
    <x v="6"/>
    <n v="919.57"/>
    <n v="615.66"/>
    <n v="127.02"/>
    <n v="146.49"/>
    <n v="72.45"/>
    <n v="1881.19"/>
    <n v="1809.09"/>
    <n v="-72.100000000000136"/>
    <n v="-3.9854291384066098E-2"/>
    <x v="0"/>
    <s v="Pending"/>
    <s v="Reimbursed"/>
    <x v="0"/>
    <s v="No"/>
    <x v="0"/>
  </r>
  <r>
    <s v="TR-0037"/>
    <s v="Diana Gray"/>
    <x v="3"/>
    <x v="3"/>
    <s v="Orlando, FL"/>
    <x v="6"/>
    <x v="0"/>
    <s v="Industry Conference"/>
    <s v="Corporate Travel Portal"/>
    <d v="2026-03-15T00:00:00"/>
    <d v="2026-04-25T00:00:00"/>
    <d v="2026-04-28T00:00:00"/>
    <x v="1"/>
    <x v="1"/>
    <n v="4"/>
    <n v="41"/>
    <n v="3"/>
    <x v="4"/>
    <x v="4"/>
    <n v="556.34"/>
    <n v="701.82"/>
    <n v="48.63"/>
    <n v="302.66000000000003"/>
    <n v="147.86000000000001"/>
    <n v="1757.3100000000004"/>
    <n v="1850.23"/>
    <n v="92.919999999999618"/>
    <n v="5.022078336206829E-2"/>
    <x v="1"/>
    <s v="Approved"/>
    <s v="Reimbursed"/>
    <x v="0"/>
    <s v="No"/>
    <x v="0"/>
  </r>
  <r>
    <s v="TR-0038"/>
    <s v="Andrea Reed"/>
    <x v="0"/>
    <x v="4"/>
    <s v="Orlando, FL"/>
    <x v="5"/>
    <x v="0"/>
    <s v="Board Meeting"/>
    <s v="Corporate Travel Portal"/>
    <d v="2026-01-08T00:00:00"/>
    <d v="2026-02-20T00:00:00"/>
    <d v="2026-02-24T00:00:00"/>
    <x v="5"/>
    <x v="5"/>
    <n v="2"/>
    <n v="43"/>
    <n v="4"/>
    <x v="4"/>
    <x v="3"/>
    <n v="366.79"/>
    <n v="1108.95"/>
    <n v="102.72"/>
    <n v="386.48"/>
    <n v="51.88"/>
    <n v="2016.8200000000002"/>
    <n v="2346.69"/>
    <n v="329.86999999999989"/>
    <n v="0.14056820457751126"/>
    <x v="1"/>
    <s v="Pending"/>
    <s v="Submitted"/>
    <x v="0"/>
    <s v="No"/>
    <x v="0"/>
  </r>
  <r>
    <s v="TR-0039"/>
    <s v="Grace Carter"/>
    <x v="2"/>
    <x v="3"/>
    <s v="Orlando, FL"/>
    <x v="5"/>
    <x v="0"/>
    <s v="Executive Meeting"/>
    <s v="Corporate Travel Portal"/>
    <d v="2026-02-28T00:00:00"/>
    <d v="2026-03-28T00:00:00"/>
    <d v="2026-03-29T00:00:00"/>
    <x v="0"/>
    <x v="0"/>
    <n v="3"/>
    <n v="28"/>
    <n v="1"/>
    <x v="0"/>
    <x v="3"/>
    <n v="316.92"/>
    <n v="197.88"/>
    <n v="177.38"/>
    <n v="92.52"/>
    <n v="136.80000000000001"/>
    <n v="921.5"/>
    <n v="867.19"/>
    <n v="-54.309999999999945"/>
    <n v="-6.2627567199806208E-2"/>
    <x v="0"/>
    <s v="Pending"/>
    <s v="Approved"/>
    <x v="1"/>
    <s v="Yes"/>
    <x v="1"/>
  </r>
  <r>
    <s v="TR-0040"/>
    <s v="Lucas Rojas"/>
    <x v="3"/>
    <x v="2"/>
    <s v="Orlando, FL"/>
    <x v="7"/>
    <x v="0"/>
    <s v="Industry Conference"/>
    <s v="Travel Management Company"/>
    <d v="2026-06-02T00:00:00"/>
    <d v="2026-06-15T00:00:00"/>
    <d v="2026-06-17T00:00:00"/>
    <x v="2"/>
    <x v="2"/>
    <n v="6"/>
    <n v="13"/>
    <n v="2"/>
    <x v="0"/>
    <x v="1"/>
    <n v="263.13"/>
    <n v="836.9"/>
    <n v="204.76"/>
    <n v="165.37"/>
    <n v="21.14"/>
    <n v="1491.3"/>
    <n v="1684.64"/>
    <n v="193.34000000000015"/>
    <n v="0.11476635957830761"/>
    <x v="1"/>
    <s v="Approved"/>
    <s v="Pending"/>
    <x v="0"/>
    <s v="No"/>
    <x v="0"/>
  </r>
  <r>
    <s v="TR-0041"/>
    <s v="Alexander Gomez"/>
    <x v="0"/>
    <x v="0"/>
    <s v="Orlando, FL"/>
    <x v="15"/>
    <x v="1"/>
    <s v="Board Meeting"/>
    <s v="Corporate Travel Portal"/>
    <d v="2026-04-20T00:00:00"/>
    <d v="2026-05-08T00:00:00"/>
    <d v="2026-05-14T00:00:00"/>
    <x v="4"/>
    <x v="4"/>
    <n v="5"/>
    <n v="18"/>
    <n v="6"/>
    <x v="1"/>
    <x v="7"/>
    <n v="1714.05"/>
    <n v="1719.39"/>
    <n v="289.83"/>
    <n v="641.04999999999995"/>
    <n v="49.72"/>
    <n v="4414.04"/>
    <n v="4930.49"/>
    <n v="516.44999999999982"/>
    <n v="0.10474618141401765"/>
    <x v="1"/>
    <s v="Approved"/>
    <s v="Reimbursed"/>
    <x v="1"/>
    <s v="Yes"/>
    <x v="1"/>
  </r>
  <r>
    <s v="TR-0042"/>
    <s v="Elena Turner"/>
    <x v="1"/>
    <x v="2"/>
    <s v="Orlando, FL"/>
    <x v="13"/>
    <x v="0"/>
    <s v="Board Meeting"/>
    <s v="Corporate Travel Portal"/>
    <d v="2026-05-23T00:00:00"/>
    <d v="2026-06-04T00:00:00"/>
    <d v="2026-06-08T00:00:00"/>
    <x v="2"/>
    <x v="2"/>
    <n v="6"/>
    <n v="12"/>
    <n v="4"/>
    <x v="0"/>
    <x v="3"/>
    <n v="715.24"/>
    <n v="851.42"/>
    <n v="101.31"/>
    <n v="265.27999999999997"/>
    <n v="125.55"/>
    <n v="2058.7999999999997"/>
    <n v="2164.91"/>
    <n v="106.11000000000013"/>
    <n v="4.901358486034068E-2"/>
    <x v="1"/>
    <s v="Approved"/>
    <s v="Reimbursed"/>
    <x v="0"/>
    <s v="No"/>
    <x v="0"/>
  </r>
  <r>
    <s v="TR-0043"/>
    <s v="Gabriela Parker"/>
    <x v="2"/>
    <x v="6"/>
    <s v="Orlando, FL"/>
    <x v="1"/>
    <x v="1"/>
    <s v="Executive Meeting"/>
    <s v="Direct Airline"/>
    <d v="2026-03-10T00:00:00"/>
    <d v="2026-04-13T00:00:00"/>
    <d v="2026-04-17T00:00:00"/>
    <x v="1"/>
    <x v="1"/>
    <n v="4"/>
    <n v="34"/>
    <n v="4"/>
    <x v="2"/>
    <x v="2"/>
    <n v="1485.53"/>
    <n v="1159.72"/>
    <n v="184.23"/>
    <n v="393.39"/>
    <n v="73.8"/>
    <n v="3296.67"/>
    <n v="3548.65"/>
    <n v="251.98000000000002"/>
    <n v="7.1007284460287715E-2"/>
    <x v="1"/>
    <s v="Approved"/>
    <s v="Submitted"/>
    <x v="0"/>
    <s v="No"/>
    <x v="0"/>
  </r>
  <r>
    <s v="TR-0044"/>
    <s v="Sofia Collins"/>
    <x v="0"/>
    <x v="1"/>
    <s v="Orlando, FL"/>
    <x v="12"/>
    <x v="0"/>
    <s v="Client Meeting"/>
    <s v="Executive Assistant Booking"/>
    <d v="2026-04-30T00:00:00"/>
    <d v="2026-06-13T00:00:00"/>
    <d v="2026-06-17T00:00:00"/>
    <x v="2"/>
    <x v="2"/>
    <n v="6"/>
    <n v="44"/>
    <n v="4"/>
    <x v="5"/>
    <x v="0"/>
    <n v="532.53"/>
    <n v="872.29"/>
    <n v="139.68"/>
    <n v="368.19"/>
    <n v="42.26"/>
    <n v="1954.95"/>
    <n v="2121.75"/>
    <n v="166.79999999999995"/>
    <n v="7.8614351360904888E-2"/>
    <x v="1"/>
    <s v="Approved"/>
    <s v="Approved"/>
    <x v="0"/>
    <s v="No"/>
    <x v="0"/>
  </r>
  <r>
    <s v="TR-0045"/>
    <s v="Marco Rivera"/>
    <x v="3"/>
    <x v="3"/>
    <s v="Orlando, FL"/>
    <x v="2"/>
    <x v="0"/>
    <s v="Strategy Session"/>
    <s v="Corporate Travel Portal"/>
    <d v="2026-05-16T00:00:00"/>
    <d v="2026-06-16T00:00:00"/>
    <d v="2026-06-17T00:00:00"/>
    <x v="2"/>
    <x v="2"/>
    <n v="6"/>
    <n v="31"/>
    <n v="1"/>
    <x v="5"/>
    <x v="1"/>
    <n v="729.46"/>
    <n v="163.29"/>
    <n v="137.94999999999999"/>
    <n v="88.96"/>
    <n v="142.65"/>
    <n v="1262.3100000000002"/>
    <n v="1175.2"/>
    <n v="-87.110000000000127"/>
    <n v="-7.4123553437712833E-2"/>
    <x v="0"/>
    <s v="Approved"/>
    <s v="Approved"/>
    <x v="1"/>
    <s v="Yes"/>
    <x v="1"/>
  </r>
  <r>
    <s v="TR-0046"/>
    <s v="Thomas Ramirez"/>
    <x v="3"/>
    <x v="5"/>
    <s v="Orlando, FL"/>
    <x v="0"/>
    <x v="0"/>
    <s v="Industry Conference"/>
    <s v="Travel Management Company"/>
    <d v="2026-01-21T00:00:00"/>
    <d v="2026-03-05T00:00:00"/>
    <d v="2026-03-09T00:00:00"/>
    <x v="0"/>
    <x v="0"/>
    <n v="3"/>
    <n v="43"/>
    <n v="4"/>
    <x v="3"/>
    <x v="6"/>
    <n v="793.4"/>
    <n v="1317.28"/>
    <n v="57.93"/>
    <n v="446.86"/>
    <n v="177.78"/>
    <n v="2793.25"/>
    <n v="2708.74"/>
    <n v="-84.510000000000218"/>
    <n v="-3.1199007656696556E-2"/>
    <x v="0"/>
    <s v="Approved"/>
    <s v="Pending"/>
    <x v="0"/>
    <s v="No"/>
    <x v="0"/>
  </r>
  <r>
    <s v="TR-0047"/>
    <s v="Benjamin Vargas"/>
    <x v="0"/>
    <x v="4"/>
    <s v="Orlando, FL"/>
    <x v="16"/>
    <x v="0"/>
    <s v="Site Visit"/>
    <s v="Travel Management Company"/>
    <d v="2026-04-04T00:00:00"/>
    <d v="2026-04-13T00:00:00"/>
    <d v="2026-04-17T00:00:00"/>
    <x v="1"/>
    <x v="1"/>
    <n v="4"/>
    <n v="9"/>
    <n v="4"/>
    <x v="3"/>
    <x v="2"/>
    <n v="775.83"/>
    <n v="748.95"/>
    <n v="216.14"/>
    <n v="377.98"/>
    <n v="49.41"/>
    <n v="2168.31"/>
    <n v="2276.25"/>
    <n v="107.94000000000005"/>
    <n v="4.7420098846787502E-2"/>
    <x v="1"/>
    <s v="Approved"/>
    <s v="Approved"/>
    <x v="0"/>
    <s v="No"/>
    <x v="0"/>
  </r>
  <r>
    <s v="TR-0048"/>
    <s v="Elena Turner"/>
    <x v="1"/>
    <x v="2"/>
    <s v="Orlando, FL"/>
    <x v="9"/>
    <x v="0"/>
    <s v="Site Visit"/>
    <s v="Travel Management Company"/>
    <d v="2026-05-23T00:00:00"/>
    <d v="2026-06-09T00:00:00"/>
    <d v="2026-06-12T00:00:00"/>
    <x v="2"/>
    <x v="2"/>
    <n v="6"/>
    <n v="17"/>
    <n v="3"/>
    <x v="0"/>
    <x v="6"/>
    <n v="620.92999999999995"/>
    <n v="1055.51"/>
    <n v="191.71"/>
    <n v="278.08"/>
    <n v="162.61000000000001"/>
    <n v="2308.84"/>
    <n v="2479.4699999999998"/>
    <n v="170.62999999999965"/>
    <n v="6.8817126240688406E-2"/>
    <x v="1"/>
    <s v="Approved"/>
    <s v="Reimbursed"/>
    <x v="0"/>
    <s v="No"/>
    <x v="0"/>
  </r>
  <r>
    <s v="TR-0049"/>
    <s v="David Salazar"/>
    <x v="0"/>
    <x v="0"/>
    <s v="Orlando, FL"/>
    <x v="0"/>
    <x v="0"/>
    <s v="Leadership Workshop"/>
    <s v="Corporate Travel Portal"/>
    <d v="2026-01-05T00:00:00"/>
    <d v="2026-01-28T00:00:00"/>
    <d v="2026-01-31T00:00:00"/>
    <x v="3"/>
    <x v="3"/>
    <n v="1"/>
    <n v="23"/>
    <n v="3"/>
    <x v="2"/>
    <x v="5"/>
    <n v="763.76"/>
    <n v="978.51"/>
    <n v="204.86"/>
    <n v="314.49"/>
    <n v="46.25"/>
    <n v="2307.87"/>
    <n v="2601.91"/>
    <n v="294.03999999999996"/>
    <n v="0.11300928932976159"/>
    <x v="1"/>
    <s v="Approved"/>
    <s v="Reimbursed"/>
    <x v="0"/>
    <s v="No"/>
    <x v="0"/>
  </r>
  <r>
    <s v="TR-0050"/>
    <s v="Samuel Castillo"/>
    <x v="1"/>
    <x v="0"/>
    <s v="Orlando, FL"/>
    <x v="2"/>
    <x v="0"/>
    <s v="Site Visit"/>
    <s v="Corporate Travel Portal"/>
    <d v="2026-04-22T00:00:00"/>
    <d v="2026-05-04T00:00:00"/>
    <d v="2026-05-05T00:00:00"/>
    <x v="4"/>
    <x v="4"/>
    <n v="5"/>
    <n v="12"/>
    <n v="1"/>
    <x v="3"/>
    <x v="2"/>
    <n v="589.29"/>
    <n v="159.77000000000001"/>
    <n v="109.5"/>
    <n v="99.94"/>
    <n v="47.19"/>
    <n v="1005.69"/>
    <n v="999.97"/>
    <n v="-5.7200000000000273"/>
    <n v="-5.7201716051481812E-3"/>
    <x v="0"/>
    <s v="Approved"/>
    <s v="Submitted"/>
    <x v="0"/>
    <s v="No"/>
    <x v="0"/>
  </r>
  <r>
    <s v="TR-0051"/>
    <s v="Gabriela Parker"/>
    <x v="2"/>
    <x v="6"/>
    <s v="Orlando, FL"/>
    <x v="7"/>
    <x v="0"/>
    <s v="Site Visit"/>
    <s v="Executive Assistant Booking"/>
    <d v="2026-05-01T00:00:00"/>
    <d v="2026-06-12T00:00:00"/>
    <d v="2026-06-15T00:00:00"/>
    <x v="2"/>
    <x v="2"/>
    <n v="6"/>
    <n v="42"/>
    <n v="3"/>
    <x v="4"/>
    <x v="3"/>
    <n v="340.52"/>
    <n v="743.87"/>
    <n v="210.6"/>
    <n v="219.79"/>
    <n v="88.67"/>
    <n v="1603.4499999999998"/>
    <n v="1457.79"/>
    <n v="-145.65999999999985"/>
    <n v="-9.9918369586840264E-2"/>
    <x v="0"/>
    <s v="Pending"/>
    <s v="Approved"/>
    <x v="0"/>
    <s v="No"/>
    <x v="0"/>
  </r>
  <r>
    <s v="TR-0052"/>
    <s v="David Salazar"/>
    <x v="0"/>
    <x v="0"/>
    <s v="Orlando, FL"/>
    <x v="10"/>
    <x v="1"/>
    <s v="Leadership Workshop"/>
    <s v="Direct Airline"/>
    <d v="2026-04-10T00:00:00"/>
    <d v="2026-04-22T00:00:00"/>
    <d v="2026-04-29T00:00:00"/>
    <x v="1"/>
    <x v="1"/>
    <n v="4"/>
    <n v="12"/>
    <n v="7"/>
    <x v="7"/>
    <x v="4"/>
    <n v="1377.22"/>
    <n v="2578.94"/>
    <n v="139.94"/>
    <n v="674.92"/>
    <n v="39.11"/>
    <n v="4810.1299999999992"/>
    <n v="4874.63"/>
    <n v="64.500000000000909"/>
    <n v="1.3231773488449566E-2"/>
    <x v="1"/>
    <s v="Approved"/>
    <s v="Reimbursed"/>
    <x v="0"/>
    <s v="No"/>
    <x v="0"/>
  </r>
  <r>
    <s v="TR-0053"/>
    <s v="David Salazar"/>
    <x v="0"/>
    <x v="0"/>
    <s v="Orlando, FL"/>
    <x v="10"/>
    <x v="1"/>
    <s v="Leadership Workshop"/>
    <s v="Executive Assistant Booking"/>
    <d v="2026-06-13T00:00:00"/>
    <d v="2026-06-19T00:00:00"/>
    <d v="2026-06-24T00:00:00"/>
    <x v="2"/>
    <x v="2"/>
    <n v="6"/>
    <n v="6"/>
    <n v="5"/>
    <x v="5"/>
    <x v="5"/>
    <n v="2452.02"/>
    <n v="1037.0899999999999"/>
    <n v="123.03"/>
    <n v="466.85"/>
    <n v="174.8"/>
    <n v="4253.79"/>
    <n v="3807.88"/>
    <n v="-445.90999999999985"/>
    <n v="-0.11710190447177952"/>
    <x v="0"/>
    <s v="Approved"/>
    <s v="Approved"/>
    <x v="1"/>
    <s v="Yes"/>
    <x v="3"/>
  </r>
  <r>
    <s v="TR-0054"/>
    <s v="Sophia Foster"/>
    <x v="1"/>
    <x v="1"/>
    <s v="Orlando, FL"/>
    <x v="10"/>
    <x v="1"/>
    <s v="Site Visit"/>
    <s v="Direct Airline"/>
    <d v="2026-02-11T00:00:00"/>
    <d v="2026-02-27T00:00:00"/>
    <d v="2026-03-06T00:00:00"/>
    <x v="5"/>
    <x v="5"/>
    <n v="2"/>
    <n v="16"/>
    <n v="7"/>
    <x v="5"/>
    <x v="7"/>
    <n v="1355.58"/>
    <n v="1698.78"/>
    <n v="316.01"/>
    <n v="799.76"/>
    <n v="97.24"/>
    <n v="4267.37"/>
    <n v="4777.55"/>
    <n v="510.18000000000029"/>
    <n v="0.10678695147094228"/>
    <x v="1"/>
    <s v="Approved"/>
    <s v="Pending"/>
    <x v="1"/>
    <s v="Yes"/>
    <x v="1"/>
  </r>
  <r>
    <s v="TR-0055"/>
    <s v="Henry Alvarez"/>
    <x v="0"/>
    <x v="3"/>
    <s v="Orlando, FL"/>
    <x v="12"/>
    <x v="0"/>
    <s v="Executive Meeting"/>
    <s v="Travel Management Company"/>
    <d v="2025-12-21T00:00:00"/>
    <d v="2026-01-09T00:00:00"/>
    <d v="2026-01-11T00:00:00"/>
    <x v="3"/>
    <x v="3"/>
    <n v="1"/>
    <n v="19"/>
    <n v="2"/>
    <x v="2"/>
    <x v="0"/>
    <n v="635.03"/>
    <n v="432.4"/>
    <n v="181.15"/>
    <n v="171.59"/>
    <n v="19.63"/>
    <n v="1439.8"/>
    <n v="1484.65"/>
    <n v="44.850000000000136"/>
    <n v="3.0209140201394358E-2"/>
    <x v="1"/>
    <s v="Pending"/>
    <s v="Submitted"/>
    <x v="0"/>
    <s v="No"/>
    <x v="0"/>
  </r>
  <r>
    <s v="TR-0056"/>
    <s v="Ryan Mendoza"/>
    <x v="0"/>
    <x v="5"/>
    <s v="Orlando, FL"/>
    <x v="13"/>
    <x v="0"/>
    <s v="Board Meeting"/>
    <s v="Travel Management Company"/>
    <d v="2026-04-26T00:00:00"/>
    <d v="2026-05-02T00:00:00"/>
    <d v="2026-05-03T00:00:00"/>
    <x v="4"/>
    <x v="4"/>
    <n v="5"/>
    <n v="6"/>
    <n v="1"/>
    <x v="3"/>
    <x v="0"/>
    <n v="886.63"/>
    <n v="152.93"/>
    <n v="151.44999999999999"/>
    <n v="58.94"/>
    <n v="49.5"/>
    <n v="1299.45"/>
    <n v="1390.31"/>
    <n v="90.8599999999999"/>
    <n v="6.5352331494414842E-2"/>
    <x v="1"/>
    <s v="Pending"/>
    <s v="Pending"/>
    <x v="0"/>
    <s v="No"/>
    <x v="0"/>
  </r>
  <r>
    <s v="TR-0057"/>
    <s v="Ryan Mendoza"/>
    <x v="0"/>
    <x v="5"/>
    <s v="Orlando, FL"/>
    <x v="13"/>
    <x v="0"/>
    <s v="Client Meeting"/>
    <s v="Corporate Travel Portal"/>
    <d v="2026-04-22T00:00:00"/>
    <d v="2026-05-01T00:00:00"/>
    <d v="2026-05-05T00:00:00"/>
    <x v="4"/>
    <x v="4"/>
    <n v="5"/>
    <n v="9"/>
    <n v="4"/>
    <x v="0"/>
    <x v="5"/>
    <n v="890.01"/>
    <n v="1089.55"/>
    <n v="114.78"/>
    <n v="395.11"/>
    <n v="56.26"/>
    <n v="2545.7100000000005"/>
    <n v="2478.9"/>
    <n v="-66.8100000000004"/>
    <n v="-2.6951470410262777E-2"/>
    <x v="0"/>
    <s v="Approved"/>
    <s v="Reimbursed"/>
    <x v="1"/>
    <s v="Yes"/>
    <x v="1"/>
  </r>
  <r>
    <s v="TR-0058"/>
    <s v="Sophia Foster"/>
    <x v="1"/>
    <x v="1"/>
    <s v="Orlando, FL"/>
    <x v="3"/>
    <x v="0"/>
    <s v="Client Meeting"/>
    <s v="Travel Management Company"/>
    <d v="2025-12-27T00:00:00"/>
    <d v="2026-01-26T00:00:00"/>
    <d v="2026-01-27T00:00:00"/>
    <x v="3"/>
    <x v="3"/>
    <n v="1"/>
    <n v="30"/>
    <n v="1"/>
    <x v="5"/>
    <x v="7"/>
    <n v="493.21"/>
    <n v="192.74"/>
    <n v="66.39"/>
    <n v="76.22"/>
    <n v="119.76"/>
    <n v="948.32"/>
    <n v="1047.97"/>
    <n v="99.649999999999977"/>
    <n v="9.5088599864499912E-2"/>
    <x v="1"/>
    <s v="Approved"/>
    <s v="Reimbursed"/>
    <x v="0"/>
    <s v="No"/>
    <x v="0"/>
  </r>
  <r>
    <s v="TR-0059"/>
    <s v="Natalia Cooper"/>
    <x v="0"/>
    <x v="5"/>
    <s v="Orlando, FL"/>
    <x v="2"/>
    <x v="0"/>
    <s v="Board Meeting"/>
    <s v="Corporate Travel Portal"/>
    <d v="2026-05-20T00:00:00"/>
    <d v="2026-06-01T00:00:00"/>
    <d v="2026-06-03T00:00:00"/>
    <x v="2"/>
    <x v="2"/>
    <n v="6"/>
    <n v="12"/>
    <n v="2"/>
    <x v="2"/>
    <x v="4"/>
    <n v="662.01"/>
    <n v="369.14"/>
    <n v="84.58"/>
    <n v="161.49"/>
    <n v="100.97"/>
    <n v="1378.19"/>
    <n v="1530.11"/>
    <n v="151.91999999999985"/>
    <n v="9.9286979367496364E-2"/>
    <x v="1"/>
    <s v="Pending"/>
    <s v="Approved"/>
    <x v="0"/>
    <s v="No"/>
    <x v="0"/>
  </r>
  <r>
    <s v="TR-0060"/>
    <s v="Nicholas Herrera"/>
    <x v="0"/>
    <x v="1"/>
    <s v="Orlando, FL"/>
    <x v="7"/>
    <x v="0"/>
    <s v="Strategy Session"/>
    <s v="Executive Assistant Booking"/>
    <d v="2026-06-05T00:00:00"/>
    <d v="2026-06-09T00:00:00"/>
    <d v="2026-06-12T00:00:00"/>
    <x v="2"/>
    <x v="2"/>
    <n v="6"/>
    <n v="4"/>
    <n v="3"/>
    <x v="5"/>
    <x v="6"/>
    <n v="510.7"/>
    <n v="745.95"/>
    <n v="160.04"/>
    <n v="177.53"/>
    <n v="133.37"/>
    <n v="1727.5900000000001"/>
    <n v="2023.95"/>
    <n v="296.3599999999999"/>
    <n v="0.14642654215766193"/>
    <x v="1"/>
    <s v="Approved"/>
    <s v="Pending"/>
    <x v="0"/>
    <s v="Yes"/>
    <x v="3"/>
  </r>
  <r>
    <s v="TR-0061"/>
    <s v="Samuel Castillo"/>
    <x v="1"/>
    <x v="0"/>
    <s v="Orlando, FL"/>
    <x v="11"/>
    <x v="0"/>
    <s v="Client Meeting"/>
    <s v="Corporate Travel Portal"/>
    <d v="2026-03-17T00:00:00"/>
    <d v="2026-04-09T00:00:00"/>
    <d v="2026-04-12T00:00:00"/>
    <x v="1"/>
    <x v="1"/>
    <n v="4"/>
    <n v="23"/>
    <n v="3"/>
    <x v="4"/>
    <x v="7"/>
    <n v="562.16999999999996"/>
    <n v="1064.3800000000001"/>
    <n v="92.62"/>
    <n v="284.14999999999998"/>
    <n v="87.42"/>
    <n v="2090.7400000000002"/>
    <n v="2117.11"/>
    <n v="26.369999999999891"/>
    <n v="1.2455658893491548E-2"/>
    <x v="1"/>
    <s v="Approved"/>
    <s v="Approved"/>
    <x v="0"/>
    <s v="No"/>
    <x v="0"/>
  </r>
  <r>
    <s v="TR-0062"/>
    <s v="Lucas Rojas"/>
    <x v="3"/>
    <x v="2"/>
    <s v="Orlando, FL"/>
    <x v="17"/>
    <x v="0"/>
    <s v="Board Meeting"/>
    <s v="Corporate Travel Portal"/>
    <d v="2026-04-04T00:00:00"/>
    <d v="2026-04-25T00:00:00"/>
    <d v="2026-04-26T00:00:00"/>
    <x v="1"/>
    <x v="1"/>
    <n v="4"/>
    <n v="21"/>
    <n v="1"/>
    <x v="0"/>
    <x v="6"/>
    <n v="435.3"/>
    <n v="235.89"/>
    <n v="46.35"/>
    <n v="73.09"/>
    <n v="38.020000000000003"/>
    <n v="828.65000000000009"/>
    <n v="763.33"/>
    <n v="-65.32000000000005"/>
    <n v="-8.5572426080463296E-2"/>
    <x v="0"/>
    <s v="Approved"/>
    <s v="Reimbursed"/>
    <x v="0"/>
    <s v="No"/>
    <x v="0"/>
  </r>
  <r>
    <s v="TR-0063"/>
    <s v="Emma Bennett"/>
    <x v="1"/>
    <x v="0"/>
    <s v="Orlando, FL"/>
    <x v="8"/>
    <x v="1"/>
    <s v="Leadership Workshop"/>
    <s v="Travel Management Company"/>
    <d v="2026-04-14T00:00:00"/>
    <d v="2026-04-25T00:00:00"/>
    <d v="2026-04-29T00:00:00"/>
    <x v="1"/>
    <x v="1"/>
    <n v="4"/>
    <n v="11"/>
    <n v="4"/>
    <x v="1"/>
    <x v="5"/>
    <n v="1616.69"/>
    <n v="1372.71"/>
    <n v="88.02"/>
    <n v="426.82"/>
    <n v="7.61"/>
    <n v="3511.8500000000004"/>
    <n v="3110.17"/>
    <n v="-401.68000000000029"/>
    <n v="-0.12915049659664915"/>
    <x v="0"/>
    <s v="Approved"/>
    <s v="Reimbursed"/>
    <x v="0"/>
    <s v="Yes"/>
    <x v="2"/>
  </r>
  <r>
    <s v="TR-0064"/>
    <s v="Elena Turner"/>
    <x v="1"/>
    <x v="2"/>
    <s v="Orlando, FL"/>
    <x v="2"/>
    <x v="0"/>
    <s v="Strategy Session"/>
    <s v="Direct Airline"/>
    <d v="2026-03-26T00:00:00"/>
    <d v="2026-04-18T00:00:00"/>
    <d v="2026-04-19T00:00:00"/>
    <x v="1"/>
    <x v="1"/>
    <n v="4"/>
    <n v="23"/>
    <n v="1"/>
    <x v="0"/>
    <x v="3"/>
    <n v="865.73"/>
    <n v="275.12"/>
    <n v="87.58"/>
    <n v="90.33"/>
    <n v="94.31"/>
    <n v="1413.0699999999997"/>
    <n v="1411.28"/>
    <n v="-1.7899999999997362"/>
    <n v="-1.2683521342325664E-3"/>
    <x v="0"/>
    <s v="Approved"/>
    <s v="Pending"/>
    <x v="0"/>
    <s v="No"/>
    <x v="0"/>
  </r>
  <r>
    <s v="TR-0065"/>
    <s v="Samuel Castillo"/>
    <x v="1"/>
    <x v="0"/>
    <s v="Orlando, FL"/>
    <x v="11"/>
    <x v="0"/>
    <s v="Site Visit"/>
    <s v="Travel Management Company"/>
    <d v="2025-12-19T00:00:00"/>
    <d v="2026-01-24T00:00:00"/>
    <d v="2026-01-25T00:00:00"/>
    <x v="3"/>
    <x v="3"/>
    <n v="1"/>
    <n v="36"/>
    <n v="1"/>
    <x v="5"/>
    <x v="2"/>
    <n v="630.44000000000005"/>
    <n v="267.25"/>
    <n v="70.63"/>
    <n v="66.84"/>
    <n v="108.43"/>
    <n v="1143.5900000000001"/>
    <n v="1267.17"/>
    <n v="123.57999999999993"/>
    <n v="9.7524404775996845E-2"/>
    <x v="1"/>
    <s v="Approved"/>
    <s v="Approved"/>
    <x v="1"/>
    <s v="Yes"/>
    <x v="1"/>
  </r>
  <r>
    <s v="TR-0066"/>
    <s v="Paula Murphy"/>
    <x v="2"/>
    <x v="2"/>
    <s v="Orlando, FL"/>
    <x v="4"/>
    <x v="1"/>
    <s v="Vendor Negotiation"/>
    <s v="Corporate Travel Portal"/>
    <d v="2026-05-06T00:00:00"/>
    <d v="2026-05-29T00:00:00"/>
    <d v="2026-06-05T00:00:00"/>
    <x v="4"/>
    <x v="4"/>
    <n v="5"/>
    <n v="23"/>
    <n v="7"/>
    <x v="2"/>
    <x v="3"/>
    <n v="1186.43"/>
    <n v="1732.75"/>
    <n v="138.66999999999999"/>
    <n v="408.59"/>
    <n v="91.32"/>
    <n v="3557.7600000000007"/>
    <n v="3462.14"/>
    <n v="-95.6200000000008"/>
    <n v="-2.7618756029507995E-2"/>
    <x v="0"/>
    <s v="Approved"/>
    <s v="Submitted"/>
    <x v="0"/>
    <s v="No"/>
    <x v="0"/>
  </r>
  <r>
    <s v="TR-0067"/>
    <s v="Elena Turner"/>
    <x v="1"/>
    <x v="2"/>
    <s v="Orlando, FL"/>
    <x v="3"/>
    <x v="0"/>
    <s v="Leadership Workshop"/>
    <s v="Corporate Travel Portal"/>
    <d v="2026-05-08T00:00:00"/>
    <d v="2026-06-19T00:00:00"/>
    <d v="2026-06-20T00:00:00"/>
    <x v="2"/>
    <x v="2"/>
    <n v="6"/>
    <n v="42"/>
    <n v="1"/>
    <x v="3"/>
    <x v="1"/>
    <n v="614.63"/>
    <n v="191.44"/>
    <n v="128.24"/>
    <n v="64.05"/>
    <n v="11.14"/>
    <n v="1009.4999999999999"/>
    <n v="919.71"/>
    <n v="-89.78999999999985"/>
    <n v="-9.7628600319665818E-2"/>
    <x v="0"/>
    <s v="Approved"/>
    <s v="Pending"/>
    <x v="0"/>
    <s v="No"/>
    <x v="0"/>
  </r>
  <r>
    <s v="TR-0068"/>
    <s v="Daniel Flores"/>
    <x v="2"/>
    <x v="3"/>
    <s v="Orlando, FL"/>
    <x v="6"/>
    <x v="0"/>
    <s v="Strategy Session"/>
    <s v="Executive Assistant Booking"/>
    <d v="2026-02-06T00:00:00"/>
    <d v="2026-03-09T00:00:00"/>
    <d v="2026-03-13T00:00:00"/>
    <x v="0"/>
    <x v="0"/>
    <n v="3"/>
    <n v="31"/>
    <n v="4"/>
    <x v="5"/>
    <x v="2"/>
    <n v="399.57"/>
    <n v="994.49"/>
    <n v="54.16"/>
    <n v="371.41"/>
    <n v="60.24"/>
    <n v="1879.8700000000001"/>
    <n v="1840.22"/>
    <n v="-39.650000000000091"/>
    <n v="-2.1546336851028729E-2"/>
    <x v="0"/>
    <s v="Pending"/>
    <s v="Pending"/>
    <x v="0"/>
    <s v="No"/>
    <x v="0"/>
  </r>
  <r>
    <s v="TR-0069"/>
    <s v="Sofia Collins"/>
    <x v="0"/>
    <x v="1"/>
    <s v="Orlando, FL"/>
    <x v="0"/>
    <x v="0"/>
    <s v="Strategy Session"/>
    <s v="Executive Assistant Booking"/>
    <d v="2026-02-19T00:00:00"/>
    <d v="2026-03-31T00:00:00"/>
    <d v="2026-04-01T00:00:00"/>
    <x v="0"/>
    <x v="0"/>
    <n v="3"/>
    <n v="40"/>
    <n v="1"/>
    <x v="5"/>
    <x v="6"/>
    <n v="708.58"/>
    <n v="407.6"/>
    <n v="99.18"/>
    <n v="77.599999999999994"/>
    <n v="142.5"/>
    <n v="1435.46"/>
    <n v="1613.39"/>
    <n v="177.93000000000006"/>
    <n v="0.11028331649508182"/>
    <x v="1"/>
    <s v="Pending"/>
    <s v="Submitted"/>
    <x v="0"/>
    <s v="No"/>
    <x v="0"/>
  </r>
  <r>
    <s v="TR-0070"/>
    <s v="Marco Rivera"/>
    <x v="3"/>
    <x v="3"/>
    <s v="Orlando, FL"/>
    <x v="14"/>
    <x v="1"/>
    <s v="Industry Conference"/>
    <s v="Corporate Travel Portal"/>
    <d v="2026-03-12T00:00:00"/>
    <d v="2026-04-07T00:00:00"/>
    <d v="2026-04-10T00:00:00"/>
    <x v="1"/>
    <x v="1"/>
    <n v="4"/>
    <n v="26"/>
    <n v="3"/>
    <x v="2"/>
    <x v="5"/>
    <n v="1542.77"/>
    <n v="679.44"/>
    <n v="319.99"/>
    <n v="192.89"/>
    <n v="53.24"/>
    <n v="2788.3299999999995"/>
    <n v="3112.99"/>
    <n v="324.66000000000031"/>
    <n v="0.10429201507232606"/>
    <x v="1"/>
    <s v="Pending"/>
    <s v="Approved"/>
    <x v="1"/>
    <s v="No"/>
    <x v="0"/>
  </r>
  <r>
    <s v="TR-0071"/>
    <s v="Olivia Walker"/>
    <x v="0"/>
    <x v="6"/>
    <s v="Orlando, FL"/>
    <x v="12"/>
    <x v="0"/>
    <s v="Leadership Workshop"/>
    <s v="Corporate Travel Portal"/>
    <d v="2026-05-02T00:00:00"/>
    <d v="2026-06-12T00:00:00"/>
    <d v="2026-06-14T00:00:00"/>
    <x v="2"/>
    <x v="2"/>
    <n v="6"/>
    <n v="41"/>
    <n v="2"/>
    <x v="2"/>
    <x v="7"/>
    <n v="551.98"/>
    <n v="568.85"/>
    <n v="171.21"/>
    <n v="115.24"/>
    <n v="65.569999999999993"/>
    <n v="1472.85"/>
    <n v="1614.06"/>
    <n v="141.21000000000004"/>
    <n v="8.7487453997992667E-2"/>
    <x v="1"/>
    <s v="Approved"/>
    <s v="Approved"/>
    <x v="0"/>
    <s v="No"/>
    <x v="0"/>
  </r>
  <r>
    <s v="TR-0072"/>
    <s v="Andrea Reed"/>
    <x v="0"/>
    <x v="4"/>
    <s v="Orlando, FL"/>
    <x v="9"/>
    <x v="0"/>
    <s v="Board Meeting"/>
    <s v="Travel Management Company"/>
    <d v="2026-04-29T00:00:00"/>
    <d v="2026-05-21T00:00:00"/>
    <d v="2026-05-23T00:00:00"/>
    <x v="4"/>
    <x v="4"/>
    <n v="5"/>
    <n v="22"/>
    <n v="2"/>
    <x v="2"/>
    <x v="2"/>
    <n v="535.14"/>
    <n v="616.24"/>
    <n v="179.65"/>
    <n v="203.37"/>
    <n v="90.52"/>
    <n v="1624.92"/>
    <n v="1634.02"/>
    <n v="9.0999999999999091"/>
    <n v="5.5690872816733629E-3"/>
    <x v="1"/>
    <s v="Approved"/>
    <s v="Approved"/>
    <x v="0"/>
    <s v="No"/>
    <x v="0"/>
  </r>
  <r>
    <s v="TR-0073"/>
    <s v="Mia Bailey"/>
    <x v="0"/>
    <x v="4"/>
    <s v="Orlando, FL"/>
    <x v="5"/>
    <x v="0"/>
    <s v="Client Meeting"/>
    <s v="Corporate Travel Portal"/>
    <d v="2025-12-23T00:00:00"/>
    <d v="2026-01-18T00:00:00"/>
    <d v="2026-01-22T00:00:00"/>
    <x v="3"/>
    <x v="3"/>
    <n v="1"/>
    <n v="26"/>
    <n v="4"/>
    <x v="0"/>
    <x v="4"/>
    <n v="644.98"/>
    <n v="734.59"/>
    <n v="203.43"/>
    <n v="255.36"/>
    <n v="78.75"/>
    <n v="1917.1100000000001"/>
    <n v="2231.37"/>
    <n v="314.25999999999976"/>
    <n v="0.1408372434871849"/>
    <x v="1"/>
    <s v="Approved"/>
    <s v="Reimbursed"/>
    <x v="1"/>
    <s v="No"/>
    <x v="0"/>
  </r>
  <r>
    <s v="TR-0074"/>
    <s v="Caroline Evans"/>
    <x v="3"/>
    <x v="3"/>
    <s v="Orlando, FL"/>
    <x v="6"/>
    <x v="0"/>
    <s v="Leadership Workshop"/>
    <s v="Corporate Travel Portal"/>
    <d v="2026-03-29T00:00:00"/>
    <d v="2026-04-16T00:00:00"/>
    <d v="2026-04-19T00:00:00"/>
    <x v="1"/>
    <x v="1"/>
    <n v="4"/>
    <n v="18"/>
    <n v="3"/>
    <x v="4"/>
    <x v="2"/>
    <n v="391.65"/>
    <n v="467.56"/>
    <n v="170.07"/>
    <n v="225.35"/>
    <n v="26.29"/>
    <n v="1280.9199999999998"/>
    <n v="1141.93"/>
    <n v="-138.98999999999978"/>
    <n v="-0.12171499128668112"/>
    <x v="0"/>
    <s v="Approved"/>
    <s v="Pending"/>
    <x v="1"/>
    <s v="Yes"/>
    <x v="2"/>
  </r>
  <r>
    <s v="TR-0075"/>
    <s v="Andrea Reed"/>
    <x v="0"/>
    <x v="4"/>
    <s v="Orlando, FL"/>
    <x v="7"/>
    <x v="0"/>
    <s v="Site Visit"/>
    <s v="Corporate Travel Portal"/>
    <d v="2026-01-06T00:00:00"/>
    <d v="2026-01-25T00:00:00"/>
    <d v="2026-01-26T00:00:00"/>
    <x v="3"/>
    <x v="3"/>
    <n v="1"/>
    <n v="19"/>
    <n v="1"/>
    <x v="2"/>
    <x v="0"/>
    <n v="374.22"/>
    <n v="280.23"/>
    <n v="53.36"/>
    <n v="80.19"/>
    <n v="142.9"/>
    <n v="930.9"/>
    <n v="946.85"/>
    <n v="15.950000000000045"/>
    <n v="1.6845329249617198E-2"/>
    <x v="1"/>
    <s v="Approved"/>
    <s v="Reimbursed"/>
    <x v="0"/>
    <s v="No"/>
    <x v="0"/>
  </r>
  <r>
    <s v="TR-0076"/>
    <s v="Liam Santos"/>
    <x v="3"/>
    <x v="4"/>
    <s v="Orlando, FL"/>
    <x v="14"/>
    <x v="1"/>
    <s v="Industry Conference"/>
    <s v="Travel Management Company"/>
    <d v="2026-05-20T00:00:00"/>
    <d v="2026-06-01T00:00:00"/>
    <d v="2026-06-05T00:00:00"/>
    <x v="2"/>
    <x v="2"/>
    <n v="6"/>
    <n v="12"/>
    <n v="4"/>
    <x v="6"/>
    <x v="1"/>
    <n v="964.62"/>
    <n v="1076.5899999999999"/>
    <n v="236.09"/>
    <n v="240.55"/>
    <n v="175.44"/>
    <n v="2693.2900000000004"/>
    <n v="2424.7800000000002"/>
    <n v="-268.51000000000022"/>
    <n v="-0.1107358193320632"/>
    <x v="0"/>
    <s v="Pending"/>
    <s v="Approved"/>
    <x v="0"/>
    <s v="No"/>
    <x v="0"/>
  </r>
  <r>
    <s v="TR-0077"/>
    <s v="Nicholas Herrera"/>
    <x v="0"/>
    <x v="1"/>
    <s v="Orlando, FL"/>
    <x v="7"/>
    <x v="0"/>
    <s v="Leadership Workshop"/>
    <s v="Travel Management Company"/>
    <d v="2026-04-09T00:00:00"/>
    <d v="2026-04-14T00:00:00"/>
    <d v="2026-04-18T00:00:00"/>
    <x v="1"/>
    <x v="1"/>
    <n v="4"/>
    <n v="5"/>
    <n v="4"/>
    <x v="5"/>
    <x v="6"/>
    <n v="503.24"/>
    <n v="1072.9000000000001"/>
    <n v="159.99"/>
    <n v="244.88"/>
    <n v="104.74"/>
    <n v="2085.75"/>
    <n v="2308.9299999999998"/>
    <n v="223.17999999999984"/>
    <n v="9.665949162599119E-2"/>
    <x v="1"/>
    <s v="Approved"/>
    <s v="Submitted"/>
    <x v="0"/>
    <s v="Yes"/>
    <x v="3"/>
  </r>
  <r>
    <s v="TR-0078"/>
    <s v="Leo Torres"/>
    <x v="0"/>
    <x v="0"/>
    <s v="Orlando, FL"/>
    <x v="8"/>
    <x v="1"/>
    <s v="Client Meeting"/>
    <s v="Corporate Travel Portal"/>
    <d v="2026-06-04T00:00:00"/>
    <d v="2026-06-15T00:00:00"/>
    <d v="2026-06-19T00:00:00"/>
    <x v="2"/>
    <x v="2"/>
    <n v="6"/>
    <n v="11"/>
    <n v="4"/>
    <x v="7"/>
    <x v="3"/>
    <n v="921.75"/>
    <n v="1361.24"/>
    <n v="291.45"/>
    <n v="295.74"/>
    <n v="55.81"/>
    <n v="2925.9899999999993"/>
    <n v="2924.43"/>
    <n v="-1.5599999999994907"/>
    <n v="-5.3343728521438054E-4"/>
    <x v="0"/>
    <s v="Pending"/>
    <s v="Reimbursed"/>
    <x v="0"/>
    <s v="No"/>
    <x v="0"/>
  </r>
  <r>
    <s v="TR-0079"/>
    <s v="Camila Ross"/>
    <x v="0"/>
    <x v="5"/>
    <s v="Orlando, FL"/>
    <x v="13"/>
    <x v="0"/>
    <s v="Vendor Negotiation"/>
    <s v="Direct Airline"/>
    <d v="2026-02-21T00:00:00"/>
    <d v="2026-04-06T00:00:00"/>
    <d v="2026-04-07T00:00:00"/>
    <x v="1"/>
    <x v="1"/>
    <n v="4"/>
    <n v="44"/>
    <n v="1"/>
    <x v="5"/>
    <x v="4"/>
    <n v="564.16"/>
    <n v="293.04000000000002"/>
    <n v="104.33"/>
    <n v="66.209999999999994"/>
    <n v="124.57"/>
    <n v="1152.31"/>
    <n v="1141.02"/>
    <n v="-11.289999999999964"/>
    <n v="-9.8946556589717648E-3"/>
    <x v="0"/>
    <s v="Pending"/>
    <s v="Reimbursed"/>
    <x v="0"/>
    <s v="No"/>
    <x v="0"/>
  </r>
  <r>
    <s v="TR-0080"/>
    <s v="Marco Rivera"/>
    <x v="3"/>
    <x v="3"/>
    <s v="Orlando, FL"/>
    <x v="3"/>
    <x v="0"/>
    <s v="Industry Conference"/>
    <s v="Corporate Travel Portal"/>
    <d v="2026-03-19T00:00:00"/>
    <d v="2026-04-25T00:00:00"/>
    <d v="2026-04-27T00:00:00"/>
    <x v="1"/>
    <x v="1"/>
    <n v="4"/>
    <n v="37"/>
    <n v="2"/>
    <x v="5"/>
    <x v="4"/>
    <n v="516.70000000000005"/>
    <n v="472.84"/>
    <n v="119.57"/>
    <n v="192.77"/>
    <n v="63.28"/>
    <n v="1365.1599999999999"/>
    <n v="1218.69"/>
    <n v="-146.4699999999998"/>
    <n v="-0.12018642969089743"/>
    <x v="0"/>
    <s v="Approved"/>
    <s v="Approved"/>
    <x v="1"/>
    <s v="Yes"/>
    <x v="1"/>
  </r>
  <r>
    <s v="TR-0081"/>
    <s v="Sophia Foster"/>
    <x v="1"/>
    <x v="1"/>
    <s v="Orlando, FL"/>
    <x v="1"/>
    <x v="1"/>
    <s v="Executive Meeting"/>
    <s v="Corporate Travel Portal"/>
    <d v="2026-03-26T00:00:00"/>
    <d v="2026-04-08T00:00:00"/>
    <d v="2026-04-15T00:00:00"/>
    <x v="1"/>
    <x v="1"/>
    <n v="4"/>
    <n v="13"/>
    <n v="7"/>
    <x v="2"/>
    <x v="3"/>
    <n v="773.96"/>
    <n v="2365.4299999999998"/>
    <n v="161.58000000000001"/>
    <n v="545.79999999999995"/>
    <n v="102.1"/>
    <n v="3948.8699999999994"/>
    <n v="4191.84"/>
    <n v="242.97000000000071"/>
    <n v="5.7962613076835159E-2"/>
    <x v="1"/>
    <s v="Approved"/>
    <s v="Reimbursed"/>
    <x v="0"/>
    <s v="No"/>
    <x v="0"/>
  </r>
  <r>
    <s v="TR-0082"/>
    <s v="Sophia Foster"/>
    <x v="1"/>
    <x v="1"/>
    <s v="Orlando, FL"/>
    <x v="0"/>
    <x v="0"/>
    <s v="Vendor Negotiation"/>
    <s v="Executive Assistant Booking"/>
    <d v="2026-04-22T00:00:00"/>
    <d v="2026-05-20T00:00:00"/>
    <d v="2026-05-23T00:00:00"/>
    <x v="4"/>
    <x v="4"/>
    <n v="5"/>
    <n v="28"/>
    <n v="3"/>
    <x v="5"/>
    <x v="5"/>
    <n v="368.96"/>
    <n v="970.65"/>
    <n v="204.87"/>
    <n v="186.2"/>
    <n v="139.49"/>
    <n v="1870.17"/>
    <n v="2040.75"/>
    <n v="170.57999999999993"/>
    <n v="8.3586916574788644E-2"/>
    <x v="1"/>
    <s v="Approved"/>
    <s v="Approved"/>
    <x v="0"/>
    <s v="No"/>
    <x v="0"/>
  </r>
  <r>
    <s v="TR-0083"/>
    <s v="Thomas Ramirez"/>
    <x v="3"/>
    <x v="5"/>
    <s v="Orlando, FL"/>
    <x v="16"/>
    <x v="0"/>
    <s v="Board Meeting"/>
    <s v="Executive Assistant Booking"/>
    <d v="2026-01-29T00:00:00"/>
    <d v="2026-02-05T00:00:00"/>
    <d v="2026-02-07T00:00:00"/>
    <x v="5"/>
    <x v="5"/>
    <n v="2"/>
    <n v="7"/>
    <n v="2"/>
    <x v="2"/>
    <x v="3"/>
    <n v="671.99"/>
    <n v="589.62"/>
    <n v="217.65"/>
    <n v="190.14"/>
    <n v="127.72"/>
    <n v="1797.1200000000001"/>
    <n v="1877.99"/>
    <n v="80.869999999999891"/>
    <n v="4.3061997135234953E-2"/>
    <x v="1"/>
    <s v="Approved"/>
    <s v="Reimbursed"/>
    <x v="1"/>
    <s v="Yes"/>
    <x v="1"/>
  </r>
  <r>
    <s v="TR-0084"/>
    <s v="David Salazar"/>
    <x v="0"/>
    <x v="0"/>
    <s v="Orlando, FL"/>
    <x v="14"/>
    <x v="1"/>
    <s v="Strategy Session"/>
    <s v="Corporate Travel Portal"/>
    <d v="2026-02-16T00:00:00"/>
    <d v="2026-03-03T00:00:00"/>
    <d v="2026-03-06T00:00:00"/>
    <x v="0"/>
    <x v="0"/>
    <n v="3"/>
    <n v="15"/>
    <n v="3"/>
    <x v="2"/>
    <x v="3"/>
    <n v="1309.42"/>
    <n v="780.28"/>
    <n v="270.92"/>
    <n v="264.3"/>
    <n v="110.15"/>
    <n v="2735.07"/>
    <n v="2477.6"/>
    <n v="-257.47000000000025"/>
    <n v="-0.10391911527284479"/>
    <x v="0"/>
    <s v="Approved"/>
    <s v="Reimbursed"/>
    <x v="1"/>
    <s v="Yes"/>
    <x v="2"/>
  </r>
  <r>
    <s v="TR-0085"/>
    <s v="Caroline Evans"/>
    <x v="3"/>
    <x v="3"/>
    <s v="Orlando, FL"/>
    <x v="3"/>
    <x v="0"/>
    <s v="Client Meeting"/>
    <s v="Travel Management Company"/>
    <d v="2025-12-24T00:00:00"/>
    <d v="2026-02-06T00:00:00"/>
    <d v="2026-02-09T00:00:00"/>
    <x v="5"/>
    <x v="5"/>
    <n v="2"/>
    <n v="44"/>
    <n v="3"/>
    <x v="3"/>
    <x v="3"/>
    <n v="381.1"/>
    <n v="794.53"/>
    <n v="156.96"/>
    <n v="197.75"/>
    <n v="173.93"/>
    <n v="1704.2700000000002"/>
    <n v="1720.95"/>
    <n v="16.679999999999836"/>
    <n v="9.6923211017169789E-3"/>
    <x v="1"/>
    <s v="Approved"/>
    <s v="Submitted"/>
    <x v="0"/>
    <s v="No"/>
    <x v="0"/>
  </r>
  <r>
    <s v="TR-0086"/>
    <s v="Benjamin Vargas"/>
    <x v="0"/>
    <x v="4"/>
    <s v="Orlando, FL"/>
    <x v="11"/>
    <x v="0"/>
    <s v="Vendor Negotiation"/>
    <s v="Direct Airline"/>
    <d v="2026-01-29T00:00:00"/>
    <d v="2026-02-15T00:00:00"/>
    <d v="2026-02-18T00:00:00"/>
    <x v="5"/>
    <x v="5"/>
    <n v="2"/>
    <n v="17"/>
    <n v="3"/>
    <x v="0"/>
    <x v="6"/>
    <n v="352.85"/>
    <n v="1041.03"/>
    <n v="141.4"/>
    <n v="187.53"/>
    <n v="54.51"/>
    <n v="1777.3200000000002"/>
    <n v="1848.49"/>
    <n v="71.169999999999845"/>
    <n v="3.8501695978879973E-2"/>
    <x v="1"/>
    <s v="Pending"/>
    <s v="Pending"/>
    <x v="0"/>
    <s v="No"/>
    <x v="0"/>
  </r>
  <r>
    <s v="TR-0087"/>
    <s v="Jonathan Delgado"/>
    <x v="0"/>
    <x v="5"/>
    <s v="Orlando, FL"/>
    <x v="0"/>
    <x v="0"/>
    <s v="Executive Meeting"/>
    <s v="Corporate Travel Portal"/>
    <d v="2026-01-09T00:00:00"/>
    <d v="2026-02-17T00:00:00"/>
    <d v="2026-02-20T00:00:00"/>
    <x v="5"/>
    <x v="5"/>
    <n v="2"/>
    <n v="39"/>
    <n v="3"/>
    <x v="4"/>
    <x v="4"/>
    <n v="705.19"/>
    <n v="1120.18"/>
    <n v="117.9"/>
    <n v="280.02"/>
    <n v="89.65"/>
    <n v="2312.94"/>
    <n v="2470.5700000000002"/>
    <n v="157.63000000000011"/>
    <n v="6.3803089975187952E-2"/>
    <x v="1"/>
    <s v="Approved"/>
    <s v="Pending"/>
    <x v="1"/>
    <s v="Yes"/>
    <x v="1"/>
  </r>
  <r>
    <s v="TR-0088"/>
    <s v="Benjamin Vargas"/>
    <x v="0"/>
    <x v="4"/>
    <s v="Orlando, FL"/>
    <x v="4"/>
    <x v="1"/>
    <s v="Board Meeting"/>
    <s v="Travel Management Company"/>
    <d v="2026-01-10T00:00:00"/>
    <d v="2026-01-23T00:00:00"/>
    <d v="2026-01-26T00:00:00"/>
    <x v="3"/>
    <x v="3"/>
    <n v="1"/>
    <n v="13"/>
    <n v="3"/>
    <x v="6"/>
    <x v="3"/>
    <n v="1074.21"/>
    <n v="651.89"/>
    <n v="285.37"/>
    <n v="222.48"/>
    <n v="177.84"/>
    <n v="2411.79"/>
    <n v="2372.2600000000002"/>
    <n v="-39.529999999999745"/>
    <n v="-1.6663434868016046E-2"/>
    <x v="0"/>
    <s v="Approved"/>
    <s v="Approved"/>
    <x v="0"/>
    <s v="No"/>
    <x v="0"/>
  </r>
  <r>
    <s v="TR-0089"/>
    <s v="Mariana Brooks"/>
    <x v="2"/>
    <x v="2"/>
    <s v="Orlando, FL"/>
    <x v="10"/>
    <x v="1"/>
    <s v="Board Meeting"/>
    <s v="Corporate Travel Portal"/>
    <d v="2026-01-14T00:00:00"/>
    <d v="2026-02-01T00:00:00"/>
    <d v="2026-02-06T00:00:00"/>
    <x v="5"/>
    <x v="5"/>
    <n v="2"/>
    <n v="18"/>
    <n v="5"/>
    <x v="4"/>
    <x v="6"/>
    <n v="854.97"/>
    <n v="998.08"/>
    <n v="306.35000000000002"/>
    <n v="534.25"/>
    <n v="75.260000000000005"/>
    <n v="2768.9100000000003"/>
    <n v="3236.32"/>
    <n v="467.40999999999985"/>
    <n v="0.14442638552429915"/>
    <x v="1"/>
    <s v="Approved"/>
    <s v="Reimbursed"/>
    <x v="1"/>
    <s v="Yes"/>
    <x v="1"/>
  </r>
  <r>
    <s v="TR-0090"/>
    <s v="Ava Price"/>
    <x v="0"/>
    <x v="6"/>
    <s v="Orlando, FL"/>
    <x v="8"/>
    <x v="1"/>
    <s v="Industry Conference"/>
    <s v="Corporate Travel Portal"/>
    <d v="2026-04-12T00:00:00"/>
    <d v="2026-05-16T00:00:00"/>
    <d v="2026-05-22T00:00:00"/>
    <x v="4"/>
    <x v="4"/>
    <n v="5"/>
    <n v="34"/>
    <n v="6"/>
    <x v="6"/>
    <x v="1"/>
    <n v="1014.47"/>
    <n v="1414.43"/>
    <n v="215.84"/>
    <n v="347.52"/>
    <n v="50.64"/>
    <n v="3042.9"/>
    <n v="3223.21"/>
    <n v="180.30999999999995"/>
    <n v="5.5941127013132856E-2"/>
    <x v="1"/>
    <s v="Approved"/>
    <s v="Reimbursed"/>
    <x v="0"/>
    <s v="No"/>
    <x v="0"/>
  </r>
  <r>
    <s v="TR-0091"/>
    <s v="Isabella Hayes"/>
    <x v="2"/>
    <x v="1"/>
    <s v="Orlando, FL"/>
    <x v="15"/>
    <x v="1"/>
    <s v="Leadership Workshop"/>
    <s v="Corporate Travel Portal"/>
    <d v="2026-01-13T00:00:00"/>
    <d v="2026-02-08T00:00:00"/>
    <d v="2026-02-13T00:00:00"/>
    <x v="5"/>
    <x v="5"/>
    <n v="2"/>
    <n v="26"/>
    <n v="5"/>
    <x v="5"/>
    <x v="1"/>
    <n v="1327.31"/>
    <n v="1134.92"/>
    <n v="208.31"/>
    <n v="297.06"/>
    <n v="90.77"/>
    <n v="3058.37"/>
    <n v="3392.71"/>
    <n v="334.34000000000015"/>
    <n v="9.8546589599464773E-2"/>
    <x v="1"/>
    <s v="Approved"/>
    <s v="Approved"/>
    <x v="0"/>
    <s v="No"/>
    <x v="0"/>
  </r>
  <r>
    <s v="TR-0092"/>
    <s v="Lucas Rojas"/>
    <x v="3"/>
    <x v="2"/>
    <s v="Orlando, FL"/>
    <x v="0"/>
    <x v="0"/>
    <s v="Vendor Negotiation"/>
    <s v="Direct Airline"/>
    <d v="2026-01-03T00:00:00"/>
    <d v="2026-01-29T00:00:00"/>
    <d v="2026-02-02T00:00:00"/>
    <x v="3"/>
    <x v="3"/>
    <n v="1"/>
    <n v="26"/>
    <n v="4"/>
    <x v="0"/>
    <x v="2"/>
    <n v="509.65"/>
    <n v="1280.06"/>
    <n v="52.93"/>
    <n v="252.89"/>
    <n v="59.95"/>
    <n v="2155.48"/>
    <n v="2203.17"/>
    <n v="47.690000000000055"/>
    <n v="2.1646082689942243E-2"/>
    <x v="1"/>
    <s v="Approved"/>
    <s v="Approved"/>
    <x v="0"/>
    <s v="No"/>
    <x v="0"/>
  </r>
  <r>
    <s v="TR-0093"/>
    <s v="Mariana Brooks"/>
    <x v="2"/>
    <x v="2"/>
    <s v="Orlando, FL"/>
    <x v="0"/>
    <x v="0"/>
    <s v="Leadership Workshop"/>
    <s v="Travel Management Company"/>
    <d v="2026-03-16T00:00:00"/>
    <d v="2026-03-29T00:00:00"/>
    <d v="2026-04-01T00:00:00"/>
    <x v="0"/>
    <x v="0"/>
    <n v="3"/>
    <n v="13"/>
    <n v="3"/>
    <x v="0"/>
    <x v="6"/>
    <n v="685.43"/>
    <n v="953.91"/>
    <n v="143.51"/>
    <n v="250.48"/>
    <n v="2.99"/>
    <n v="2036.32"/>
    <n v="1994.31"/>
    <n v="-42.009999999999991"/>
    <n v="-2.1064929725067814E-2"/>
    <x v="0"/>
    <s v="Approved"/>
    <s v="Reimbursed"/>
    <x v="0"/>
    <s v="No"/>
    <x v="0"/>
  </r>
  <r>
    <s v="TR-0094"/>
    <s v="Liam Santos"/>
    <x v="3"/>
    <x v="4"/>
    <s v="Orlando, FL"/>
    <x v="8"/>
    <x v="1"/>
    <s v="Site Visit"/>
    <s v="Travel Management Company"/>
    <d v="2026-02-02T00:00:00"/>
    <d v="2026-03-13T00:00:00"/>
    <d v="2026-03-20T00:00:00"/>
    <x v="0"/>
    <x v="0"/>
    <n v="3"/>
    <n v="39"/>
    <n v="7"/>
    <x v="7"/>
    <x v="1"/>
    <n v="810.26"/>
    <n v="2154.25"/>
    <n v="280.29000000000002"/>
    <n v="447.07"/>
    <n v="122.53"/>
    <n v="3814.4000000000005"/>
    <n v="3392.8"/>
    <n v="-421.60000000000036"/>
    <n v="-0.12426314548455562"/>
    <x v="0"/>
    <s v="Approved"/>
    <s v="Approved"/>
    <x v="0"/>
    <s v="Yes"/>
    <x v="2"/>
  </r>
  <r>
    <s v="TR-0095"/>
    <s v="Caroline Evans"/>
    <x v="3"/>
    <x v="3"/>
    <s v="Orlando, FL"/>
    <x v="16"/>
    <x v="0"/>
    <s v="Strategy Session"/>
    <s v="Travel Management Company"/>
    <d v="2026-04-14T00:00:00"/>
    <d v="2026-04-20T00:00:00"/>
    <d v="2026-04-24T00:00:00"/>
    <x v="1"/>
    <x v="1"/>
    <n v="4"/>
    <n v="6"/>
    <n v="4"/>
    <x v="0"/>
    <x v="5"/>
    <n v="1027.8699999999999"/>
    <n v="801.17"/>
    <n v="212.42"/>
    <n v="330.32"/>
    <n v="95.96"/>
    <n v="2467.7400000000002"/>
    <n v="2576.0300000000002"/>
    <n v="108.28999999999996"/>
    <n v="4.2037553910474625E-2"/>
    <x v="1"/>
    <s v="Approved"/>
    <s v="Approved"/>
    <x v="0"/>
    <s v="No"/>
    <x v="0"/>
  </r>
  <r>
    <s v="TR-0096"/>
    <s v="Alexander Gomez"/>
    <x v="0"/>
    <x v="0"/>
    <s v="Orlando, FL"/>
    <x v="10"/>
    <x v="1"/>
    <s v="Industry Conference"/>
    <s v="Travel Management Company"/>
    <d v="2026-02-28T00:00:00"/>
    <d v="2026-03-22T00:00:00"/>
    <d v="2026-03-26T00:00:00"/>
    <x v="0"/>
    <x v="0"/>
    <n v="3"/>
    <n v="22"/>
    <n v="4"/>
    <x v="7"/>
    <x v="5"/>
    <n v="1237.9000000000001"/>
    <n v="1124.6500000000001"/>
    <n v="210.12"/>
    <n v="444.28"/>
    <n v="129.9"/>
    <n v="3146.85"/>
    <n v="3040.92"/>
    <n v="-105.92999999999984"/>
    <n v="-3.4834852610394165E-2"/>
    <x v="0"/>
    <s v="Pending"/>
    <s v="Pending"/>
    <x v="0"/>
    <s v="No"/>
    <x v="0"/>
  </r>
  <r>
    <s v="TR-0097"/>
    <s v="Julian Paredes"/>
    <x v="0"/>
    <x v="7"/>
    <s v="Orlando, FL"/>
    <x v="17"/>
    <x v="0"/>
    <s v="Industry Conference"/>
    <s v="Executive Assistant Booking"/>
    <d v="2026-02-06T00:00:00"/>
    <d v="2026-02-11T00:00:00"/>
    <d v="2026-02-14T00:00:00"/>
    <x v="5"/>
    <x v="5"/>
    <n v="2"/>
    <n v="5"/>
    <n v="3"/>
    <x v="4"/>
    <x v="2"/>
    <n v="809.78"/>
    <n v="522.71"/>
    <n v="189.89"/>
    <n v="213.8"/>
    <n v="101.16"/>
    <n v="1837.3400000000001"/>
    <n v="1766.58"/>
    <n v="-70.760000000000218"/>
    <n v="-4.0054795140893829E-2"/>
    <x v="0"/>
    <s v="Approved"/>
    <s v="Approved"/>
    <x v="0"/>
    <s v="Yes"/>
    <x v="3"/>
  </r>
  <r>
    <s v="TR-0098"/>
    <s v="Ryan Mendoza"/>
    <x v="0"/>
    <x v="5"/>
    <s v="Orlando, FL"/>
    <x v="9"/>
    <x v="0"/>
    <s v="Client Meeting"/>
    <s v="Travel Management Company"/>
    <d v="2026-06-11T00:00:00"/>
    <d v="2026-06-17T00:00:00"/>
    <d v="2026-06-19T00:00:00"/>
    <x v="2"/>
    <x v="2"/>
    <n v="6"/>
    <n v="6"/>
    <n v="2"/>
    <x v="3"/>
    <x v="2"/>
    <n v="372.28"/>
    <n v="442.07"/>
    <n v="141.31"/>
    <n v="221.49"/>
    <n v="73.239999999999995"/>
    <n v="1250.3899999999999"/>
    <n v="1451.09"/>
    <n v="200.70000000000005"/>
    <n v="0.13830982227153385"/>
    <x v="1"/>
    <s v="Approved"/>
    <s v="Reimbursed"/>
    <x v="0"/>
    <s v="Yes"/>
    <x v="3"/>
  </r>
  <r>
    <s v="TR-0099"/>
    <s v="Grace Carter"/>
    <x v="2"/>
    <x v="3"/>
    <s v="Orlando, FL"/>
    <x v="13"/>
    <x v="0"/>
    <s v="Site Visit"/>
    <s v="Executive Assistant Booking"/>
    <d v="2026-06-11T00:00:00"/>
    <d v="2026-06-19T00:00:00"/>
    <d v="2026-06-20T00:00:00"/>
    <x v="2"/>
    <x v="2"/>
    <n v="6"/>
    <n v="8"/>
    <n v="1"/>
    <x v="0"/>
    <x v="1"/>
    <n v="544.48"/>
    <n v="168.13"/>
    <n v="205.94"/>
    <n v="114.83"/>
    <n v="71.459999999999994"/>
    <n v="1104.8399999999999"/>
    <n v="1136.46"/>
    <n v="31.620000000000118"/>
    <n v="2.7823240589198141E-2"/>
    <x v="1"/>
    <s v="Approved"/>
    <s v="Submitted"/>
    <x v="0"/>
    <s v="No"/>
    <x v="0"/>
  </r>
  <r>
    <s v="TR-0100"/>
    <s v="Paula Murphy"/>
    <x v="2"/>
    <x v="2"/>
    <s v="Orlando, FL"/>
    <x v="2"/>
    <x v="0"/>
    <s v="Board Meeting"/>
    <s v="Corporate Travel Portal"/>
    <d v="2026-02-27T00:00:00"/>
    <d v="2026-03-31T00:00:00"/>
    <d v="2026-04-03T00:00:00"/>
    <x v="0"/>
    <x v="0"/>
    <n v="3"/>
    <n v="32"/>
    <n v="3"/>
    <x v="2"/>
    <x v="3"/>
    <n v="769.89"/>
    <n v="731.18"/>
    <n v="170.75"/>
    <n v="167.54"/>
    <n v="60.68"/>
    <n v="1900.04"/>
    <n v="1840.2"/>
    <n v="-59.839999999999918"/>
    <n v="-3.2518204542984416E-2"/>
    <x v="0"/>
    <s v="Approved"/>
    <s v="Approved"/>
    <x v="0"/>
    <s v="No"/>
    <x v="0"/>
  </r>
  <r>
    <s v="TR-0101"/>
    <s v="Julian Paredes"/>
    <x v="0"/>
    <x v="7"/>
    <s v="Orlando, FL"/>
    <x v="15"/>
    <x v="1"/>
    <s v="Leadership Workshop"/>
    <s v="Corporate Travel Portal"/>
    <d v="2026-05-08T00:00:00"/>
    <d v="2026-05-16T00:00:00"/>
    <d v="2026-05-21T00:00:00"/>
    <x v="4"/>
    <x v="4"/>
    <n v="5"/>
    <n v="8"/>
    <n v="5"/>
    <x v="7"/>
    <x v="4"/>
    <n v="854.67"/>
    <n v="1257.42"/>
    <n v="132.01"/>
    <n v="353.24"/>
    <n v="42.39"/>
    <n v="2639.73"/>
    <n v="2919.88"/>
    <n v="280.15000000000009"/>
    <n v="9.5945723796868387E-2"/>
    <x v="1"/>
    <s v="Approved"/>
    <s v="Reimbursed"/>
    <x v="0"/>
    <s v="No"/>
    <x v="0"/>
  </r>
  <r>
    <s v="TR-0102"/>
    <s v="Paula Murphy"/>
    <x v="2"/>
    <x v="2"/>
    <s v="Orlando, FL"/>
    <x v="7"/>
    <x v="0"/>
    <s v="Executive Meeting"/>
    <s v="Corporate Travel Portal"/>
    <d v="2026-02-22T00:00:00"/>
    <d v="2026-03-12T00:00:00"/>
    <d v="2026-03-15T00:00:00"/>
    <x v="0"/>
    <x v="0"/>
    <n v="3"/>
    <n v="18"/>
    <n v="3"/>
    <x v="4"/>
    <x v="3"/>
    <n v="441.09"/>
    <n v="961.51"/>
    <n v="201.65"/>
    <n v="291.64"/>
    <n v="55.98"/>
    <n v="1951.87"/>
    <n v="1786.4"/>
    <n v="-165.4699999999998"/>
    <n v="-9.2627630989699838E-2"/>
    <x v="0"/>
    <s v="Approved"/>
    <s v="Reimbursed"/>
    <x v="0"/>
    <s v="No"/>
    <x v="0"/>
  </r>
  <r>
    <s v="TR-0103"/>
    <s v="Valentina Morgan"/>
    <x v="3"/>
    <x v="2"/>
    <s v="Orlando, FL"/>
    <x v="0"/>
    <x v="0"/>
    <s v="Vendor Negotiation"/>
    <s v="Direct Airline"/>
    <d v="2026-04-05T00:00:00"/>
    <d v="2026-05-07T00:00:00"/>
    <d v="2026-05-09T00:00:00"/>
    <x v="4"/>
    <x v="4"/>
    <n v="5"/>
    <n v="32"/>
    <n v="2"/>
    <x v="3"/>
    <x v="3"/>
    <n v="828.44"/>
    <n v="712.14"/>
    <n v="149.27000000000001"/>
    <n v="204.48"/>
    <n v="94.59"/>
    <n v="1988.9199999999998"/>
    <n v="2065.4"/>
    <n v="76.480000000000246"/>
    <n v="3.7029146896485059E-2"/>
    <x v="1"/>
    <s v="Approved"/>
    <s v="Submitted"/>
    <x v="1"/>
    <s v="Yes"/>
    <x v="1"/>
  </r>
  <r>
    <s v="TR-0104"/>
    <s v="Paula Murphy"/>
    <x v="2"/>
    <x v="2"/>
    <s v="Orlando, FL"/>
    <x v="10"/>
    <x v="1"/>
    <s v="Board Meeting"/>
    <s v="Travel Management Company"/>
    <d v="2026-01-20T00:00:00"/>
    <d v="2026-02-12T00:00:00"/>
    <d v="2026-02-16T00:00:00"/>
    <x v="5"/>
    <x v="5"/>
    <n v="2"/>
    <n v="23"/>
    <n v="4"/>
    <x v="4"/>
    <x v="5"/>
    <n v="1237.71"/>
    <n v="1443.16"/>
    <n v="181.37"/>
    <n v="233.35"/>
    <n v="23.75"/>
    <n v="3119.3399999999997"/>
    <n v="3133.77"/>
    <n v="14.430000000000291"/>
    <n v="4.6046774332514162E-3"/>
    <x v="1"/>
    <s v="Pending"/>
    <s v="Submitted"/>
    <x v="0"/>
    <s v="No"/>
    <x v="0"/>
  </r>
  <r>
    <s v="TR-0105"/>
    <s v="Benjamin Vargas"/>
    <x v="0"/>
    <x v="4"/>
    <s v="Orlando, FL"/>
    <x v="7"/>
    <x v="0"/>
    <s v="Site Visit"/>
    <s v="Corporate Travel Portal"/>
    <d v="2026-04-13T00:00:00"/>
    <d v="2026-04-16T00:00:00"/>
    <d v="2026-04-19T00:00:00"/>
    <x v="1"/>
    <x v="1"/>
    <n v="4"/>
    <n v="3"/>
    <n v="3"/>
    <x v="0"/>
    <x v="4"/>
    <n v="494.14"/>
    <n v="1256.47"/>
    <n v="208.55"/>
    <n v="177.42"/>
    <n v="168.08"/>
    <n v="2304.66"/>
    <n v="2050.04"/>
    <n v="-254.61999999999989"/>
    <n v="-0.12420245458625193"/>
    <x v="0"/>
    <s v="Approved"/>
    <s v="Approved"/>
    <x v="0"/>
    <s v="Yes"/>
    <x v="2"/>
  </r>
  <r>
    <s v="TR-0106"/>
    <s v="David Salazar"/>
    <x v="0"/>
    <x v="0"/>
    <s v="Orlando, FL"/>
    <x v="1"/>
    <x v="1"/>
    <s v="Client Meeting"/>
    <s v="Travel Management Company"/>
    <d v="2026-04-02T00:00:00"/>
    <d v="2026-04-29T00:00:00"/>
    <d v="2026-05-05T00:00:00"/>
    <x v="1"/>
    <x v="1"/>
    <n v="4"/>
    <n v="27"/>
    <n v="6"/>
    <x v="7"/>
    <x v="7"/>
    <n v="1082.55"/>
    <n v="1343.46"/>
    <n v="204.31"/>
    <n v="520.38"/>
    <n v="131.01"/>
    <n v="3281.71"/>
    <n v="3107.15"/>
    <n v="-174.55999999999995"/>
    <n v="-5.6180100735400591E-2"/>
    <x v="0"/>
    <s v="Approved"/>
    <s v="Submitted"/>
    <x v="1"/>
    <s v="Yes"/>
    <x v="1"/>
  </r>
  <r>
    <s v="TR-0107"/>
    <s v="Lucia Mitchell"/>
    <x v="3"/>
    <x v="1"/>
    <s v="Orlando, FL"/>
    <x v="1"/>
    <x v="1"/>
    <s v="Vendor Negotiation"/>
    <s v="Corporate Travel Portal"/>
    <d v="2026-01-31T00:00:00"/>
    <d v="2026-03-04T00:00:00"/>
    <d v="2026-03-08T00:00:00"/>
    <x v="0"/>
    <x v="0"/>
    <n v="3"/>
    <n v="32"/>
    <n v="4"/>
    <x v="2"/>
    <x v="6"/>
    <n v="1540.6"/>
    <n v="784.49"/>
    <n v="235.05"/>
    <n v="367.58"/>
    <n v="168.52"/>
    <n v="3096.2400000000002"/>
    <n v="3550.5"/>
    <n v="454.25999999999976"/>
    <n v="0.12794254330375995"/>
    <x v="1"/>
    <s v="Approved"/>
    <s v="Approved"/>
    <x v="0"/>
    <s v="No"/>
    <x v="0"/>
  </r>
  <r>
    <s v="TR-0108"/>
    <s v="Diana Gray"/>
    <x v="3"/>
    <x v="3"/>
    <s v="Orlando, FL"/>
    <x v="6"/>
    <x v="0"/>
    <s v="Executive Meeting"/>
    <s v="Corporate Travel Portal"/>
    <d v="2026-04-11T00:00:00"/>
    <d v="2026-04-29T00:00:00"/>
    <d v="2026-04-30T00:00:00"/>
    <x v="1"/>
    <x v="1"/>
    <n v="4"/>
    <n v="18"/>
    <n v="1"/>
    <x v="3"/>
    <x v="3"/>
    <n v="333.84"/>
    <n v="278.2"/>
    <n v="54.88"/>
    <n v="85.23"/>
    <n v="52.07"/>
    <n v="804.22"/>
    <n v="904.54"/>
    <n v="100.31999999999994"/>
    <n v="0.11090720145046094"/>
    <x v="1"/>
    <s v="Pending"/>
    <s v="Reimbursed"/>
    <x v="0"/>
    <s v="No"/>
    <x v="0"/>
  </r>
  <r>
    <s v="TR-0109"/>
    <s v="Grace Carter"/>
    <x v="2"/>
    <x v="3"/>
    <s v="Orlando, FL"/>
    <x v="9"/>
    <x v="0"/>
    <s v="Site Visit"/>
    <s v="Corporate Travel Portal"/>
    <d v="2026-02-06T00:00:00"/>
    <d v="2026-03-23T00:00:00"/>
    <d v="2026-03-25T00:00:00"/>
    <x v="0"/>
    <x v="0"/>
    <n v="3"/>
    <n v="45"/>
    <n v="2"/>
    <x v="3"/>
    <x v="6"/>
    <n v="479.43"/>
    <n v="734.08"/>
    <n v="75.650000000000006"/>
    <n v="191.45"/>
    <n v="100.05"/>
    <n v="1580.66"/>
    <n v="1413.21"/>
    <n v="-167.45000000000005"/>
    <n v="-0.11848911343678578"/>
    <x v="0"/>
    <s v="Approved"/>
    <s v="Pending"/>
    <x v="0"/>
    <s v="Yes"/>
    <x v="2"/>
  </r>
  <r>
    <s v="TR-0110"/>
    <s v="Caroline Evans"/>
    <x v="3"/>
    <x v="3"/>
    <s v="Orlando, FL"/>
    <x v="15"/>
    <x v="1"/>
    <s v="Strategy Session"/>
    <s v="Corporate Travel Portal"/>
    <d v="2026-01-16T00:00:00"/>
    <d v="2026-02-12T00:00:00"/>
    <d v="2026-02-17T00:00:00"/>
    <x v="5"/>
    <x v="5"/>
    <n v="2"/>
    <n v="27"/>
    <n v="5"/>
    <x v="1"/>
    <x v="3"/>
    <n v="947.88"/>
    <n v="1764.66"/>
    <n v="106.09"/>
    <n v="413.91"/>
    <n v="10.37"/>
    <n v="3242.91"/>
    <n v="3255.24"/>
    <n v="12.329999999999927"/>
    <n v="3.7877391528734986E-3"/>
    <x v="1"/>
    <s v="Approved"/>
    <s v="Approved"/>
    <x v="0"/>
    <s v="No"/>
    <x v="0"/>
  </r>
  <r>
    <s v="TR-0111"/>
    <s v="Victoria Ward"/>
    <x v="2"/>
    <x v="0"/>
    <s v="Orlando, FL"/>
    <x v="9"/>
    <x v="0"/>
    <s v="Client Meeting"/>
    <s v="Corporate Travel Portal"/>
    <d v="2026-02-15T00:00:00"/>
    <d v="2026-03-11T00:00:00"/>
    <d v="2026-03-13T00:00:00"/>
    <x v="0"/>
    <x v="0"/>
    <n v="3"/>
    <n v="24"/>
    <n v="2"/>
    <x v="3"/>
    <x v="2"/>
    <n v="623.01"/>
    <n v="516.19000000000005"/>
    <n v="91.98"/>
    <n v="190.84"/>
    <n v="108.53"/>
    <n v="1530.55"/>
    <n v="1748.02"/>
    <n v="217.47000000000003"/>
    <n v="0.1244093317010103"/>
    <x v="1"/>
    <s v="Approved"/>
    <s v="Approved"/>
    <x v="0"/>
    <s v="No"/>
    <x v="0"/>
  </r>
  <r>
    <s v="TR-0112"/>
    <s v="Nicholas Herrera"/>
    <x v="0"/>
    <x v="1"/>
    <s v="Orlando, FL"/>
    <x v="16"/>
    <x v="0"/>
    <s v="Industry Conference"/>
    <s v="Executive Assistant Booking"/>
    <d v="2026-04-13T00:00:00"/>
    <d v="2026-05-07T00:00:00"/>
    <d v="2026-05-09T00:00:00"/>
    <x v="4"/>
    <x v="4"/>
    <n v="5"/>
    <n v="24"/>
    <n v="2"/>
    <x v="4"/>
    <x v="5"/>
    <n v="758.38"/>
    <n v="317.54000000000002"/>
    <n v="219.93"/>
    <n v="167.47"/>
    <n v="43.67"/>
    <n v="1506.9900000000002"/>
    <n v="1599.4"/>
    <n v="92.409999999999854"/>
    <n v="5.7777916718769445E-2"/>
    <x v="1"/>
    <s v="Approved"/>
    <s v="Reimbursed"/>
    <x v="1"/>
    <s v="Yes"/>
    <x v="1"/>
  </r>
  <r>
    <s v="TR-0113"/>
    <s v="Victoria Ward"/>
    <x v="2"/>
    <x v="0"/>
    <s v="Orlando, FL"/>
    <x v="4"/>
    <x v="1"/>
    <s v="Industry Conference"/>
    <s v="Travel Management Company"/>
    <d v="2026-04-29T00:00:00"/>
    <d v="2026-05-21T00:00:00"/>
    <d v="2026-05-26T00:00:00"/>
    <x v="4"/>
    <x v="4"/>
    <n v="5"/>
    <n v="22"/>
    <n v="5"/>
    <x v="5"/>
    <x v="3"/>
    <n v="1583.1"/>
    <n v="1636.29"/>
    <n v="260.41000000000003"/>
    <n v="371.07"/>
    <n v="36.56"/>
    <n v="3887.43"/>
    <n v="3785.88"/>
    <n v="-101.54999999999973"/>
    <n v="-2.6823354147516489E-2"/>
    <x v="0"/>
    <s v="Approved"/>
    <s v="Approved"/>
    <x v="1"/>
    <s v="Yes"/>
    <x v="1"/>
  </r>
  <r>
    <s v="TR-0114"/>
    <s v="Sofia Collins"/>
    <x v="0"/>
    <x v="1"/>
    <s v="Orlando, FL"/>
    <x v="10"/>
    <x v="1"/>
    <s v="Industry Conference"/>
    <s v="Corporate Travel Portal"/>
    <d v="2026-05-05T00:00:00"/>
    <d v="2026-06-03T00:00:00"/>
    <d v="2026-06-10T00:00:00"/>
    <x v="2"/>
    <x v="2"/>
    <n v="6"/>
    <n v="29"/>
    <n v="7"/>
    <x v="2"/>
    <x v="5"/>
    <n v="1043.31"/>
    <n v="1994.07"/>
    <n v="233.65"/>
    <n v="672.64"/>
    <n v="46.32"/>
    <n v="3989.9900000000002"/>
    <n v="4494.63"/>
    <n v="504.63999999999987"/>
    <n v="0.11227620516038024"/>
    <x v="1"/>
    <s v="Approved"/>
    <s v="Reimbursed"/>
    <x v="0"/>
    <s v="No"/>
    <x v="0"/>
  </r>
  <r>
    <s v="TR-0115"/>
    <s v="Natalia Cooper"/>
    <x v="0"/>
    <x v="5"/>
    <s v="Orlando, FL"/>
    <x v="11"/>
    <x v="0"/>
    <s v="Executive Meeting"/>
    <s v="Direct Airline"/>
    <d v="2026-01-26T00:00:00"/>
    <d v="2026-02-09T00:00:00"/>
    <d v="2026-02-13T00:00:00"/>
    <x v="5"/>
    <x v="5"/>
    <n v="2"/>
    <n v="14"/>
    <n v="4"/>
    <x v="0"/>
    <x v="1"/>
    <n v="252.37"/>
    <n v="1534.4"/>
    <n v="53.49"/>
    <n v="221.53"/>
    <n v="24.75"/>
    <n v="2086.54"/>
    <n v="2230.9499999999998"/>
    <n v="144.40999999999985"/>
    <n v="6.4730271857280475E-2"/>
    <x v="1"/>
    <s v="Approved"/>
    <s v="Pending"/>
    <x v="0"/>
    <s v="No"/>
    <x v="0"/>
  </r>
  <r>
    <s v="TR-0116"/>
    <s v="James Campos"/>
    <x v="3"/>
    <x v="3"/>
    <s v="Orlando, FL"/>
    <x v="14"/>
    <x v="1"/>
    <s v="Board Meeting"/>
    <s v="Corporate Travel Portal"/>
    <d v="2026-04-25T00:00:00"/>
    <d v="2026-05-01T00:00:00"/>
    <d v="2026-05-06T00:00:00"/>
    <x v="4"/>
    <x v="4"/>
    <n v="5"/>
    <n v="6"/>
    <n v="5"/>
    <x v="7"/>
    <x v="3"/>
    <n v="1674.71"/>
    <n v="965.89"/>
    <n v="250.55"/>
    <n v="435.72"/>
    <n v="51.6"/>
    <n v="3378.47"/>
    <n v="3482.07"/>
    <n v="103.60000000000036"/>
    <n v="2.9752417383912547E-2"/>
    <x v="1"/>
    <s v="Approved"/>
    <s v="Approved"/>
    <x v="0"/>
    <s v="Yes"/>
    <x v="3"/>
  </r>
  <r>
    <s v="TR-0117"/>
    <s v="Henry Alvarez"/>
    <x v="0"/>
    <x v="3"/>
    <s v="Orlando, FL"/>
    <x v="16"/>
    <x v="0"/>
    <s v="Industry Conference"/>
    <s v="Corporate Travel Portal"/>
    <d v="2026-05-18T00:00:00"/>
    <d v="2026-06-12T00:00:00"/>
    <d v="2026-06-15T00:00:00"/>
    <x v="2"/>
    <x v="2"/>
    <n v="6"/>
    <n v="25"/>
    <n v="3"/>
    <x v="3"/>
    <x v="4"/>
    <n v="441.44"/>
    <n v="691.2"/>
    <n v="218.29"/>
    <n v="205.65"/>
    <n v="123.13"/>
    <n v="1679.71"/>
    <n v="1905.4"/>
    <n v="225.69000000000005"/>
    <n v="0.11844757006402858"/>
    <x v="1"/>
    <s v="Approved"/>
    <s v="Submitted"/>
    <x v="0"/>
    <s v="No"/>
    <x v="0"/>
  </r>
  <r>
    <s v="TR-0118"/>
    <s v="Victoria Ward"/>
    <x v="2"/>
    <x v="0"/>
    <s v="Orlando, FL"/>
    <x v="10"/>
    <x v="1"/>
    <s v="Executive Meeting"/>
    <s v="Corporate Travel Portal"/>
    <d v="2026-03-24T00:00:00"/>
    <d v="2026-05-06T00:00:00"/>
    <d v="2026-05-09T00:00:00"/>
    <x v="4"/>
    <x v="4"/>
    <n v="5"/>
    <n v="43"/>
    <n v="3"/>
    <x v="7"/>
    <x v="7"/>
    <n v="1490.49"/>
    <n v="758.82"/>
    <n v="314.33"/>
    <n v="340.29"/>
    <n v="161.06"/>
    <n v="3064.99"/>
    <n v="3542.35"/>
    <n v="477.36000000000013"/>
    <n v="0.13475799963301202"/>
    <x v="1"/>
    <s v="Approved"/>
    <s v="Approved"/>
    <x v="1"/>
    <s v="Yes"/>
    <x v="1"/>
  </r>
  <r>
    <s v="TR-0119"/>
    <s v="Alexander Gomez"/>
    <x v="0"/>
    <x v="0"/>
    <s v="Orlando, FL"/>
    <x v="6"/>
    <x v="0"/>
    <s v="Executive Meeting"/>
    <s v="Corporate Travel Portal"/>
    <d v="2025-12-18T00:00:00"/>
    <d v="2026-01-24T00:00:00"/>
    <d v="2026-01-27T00:00:00"/>
    <x v="3"/>
    <x v="3"/>
    <n v="1"/>
    <n v="37"/>
    <n v="3"/>
    <x v="2"/>
    <x v="2"/>
    <n v="283.60000000000002"/>
    <n v="813.93"/>
    <n v="188.66"/>
    <n v="332.2"/>
    <n v="53.87"/>
    <n v="1672.26"/>
    <n v="1754.51"/>
    <n v="82.25"/>
    <n v="4.6879185641575144E-2"/>
    <x v="1"/>
    <s v="Pending"/>
    <s v="Reimbursed"/>
    <x v="0"/>
    <s v="No"/>
    <x v="0"/>
  </r>
  <r>
    <s v="TR-0120"/>
    <s v="Lucia Mitchell"/>
    <x v="3"/>
    <x v="1"/>
    <s v="Orlando, FL"/>
    <x v="12"/>
    <x v="0"/>
    <s v="Vendor Negotiation"/>
    <s v="Corporate Travel Portal"/>
    <d v="2026-04-05T00:00:00"/>
    <d v="2026-04-13T00:00:00"/>
    <d v="2026-04-15T00:00:00"/>
    <x v="1"/>
    <x v="1"/>
    <n v="4"/>
    <n v="8"/>
    <n v="2"/>
    <x v="4"/>
    <x v="4"/>
    <n v="688.04"/>
    <n v="388.99"/>
    <n v="179.58"/>
    <n v="224.58"/>
    <n v="71.41"/>
    <n v="1552.6"/>
    <n v="1726.59"/>
    <n v="173.99"/>
    <n v="0.10077088364927402"/>
    <x v="1"/>
    <s v="Approved"/>
    <s v="Pending"/>
    <x v="0"/>
    <s v="No"/>
    <x v="0"/>
  </r>
  <r>
    <s v="TR-0121"/>
    <s v="Andrea Reed"/>
    <x v="0"/>
    <x v="4"/>
    <s v="Orlando, FL"/>
    <x v="8"/>
    <x v="1"/>
    <s v="Leadership Workshop"/>
    <s v="Travel Management Company"/>
    <d v="2026-01-25T00:00:00"/>
    <d v="2026-03-04T00:00:00"/>
    <d v="2026-03-09T00:00:00"/>
    <x v="0"/>
    <x v="0"/>
    <n v="3"/>
    <n v="38"/>
    <n v="5"/>
    <x v="6"/>
    <x v="7"/>
    <n v="1224.95"/>
    <n v="1537.69"/>
    <n v="269.51"/>
    <n v="488.93"/>
    <n v="14.77"/>
    <n v="3535.8500000000004"/>
    <n v="3275.14"/>
    <n v="-260.71000000000049"/>
    <n v="-7.960270400654644E-2"/>
    <x v="0"/>
    <s v="Approved"/>
    <s v="Pending"/>
    <x v="0"/>
    <s v="No"/>
    <x v="0"/>
  </r>
  <r>
    <s v="TR-0122"/>
    <s v="David Salazar"/>
    <x v="0"/>
    <x v="0"/>
    <s v="Orlando, FL"/>
    <x v="2"/>
    <x v="0"/>
    <s v="Board Meeting"/>
    <s v="Corporate Travel Portal"/>
    <d v="2026-01-06T00:00:00"/>
    <d v="2026-01-28T00:00:00"/>
    <d v="2026-01-29T00:00:00"/>
    <x v="3"/>
    <x v="3"/>
    <n v="1"/>
    <n v="22"/>
    <n v="1"/>
    <x v="5"/>
    <x v="6"/>
    <n v="435.79"/>
    <n v="229.12"/>
    <n v="134.68"/>
    <n v="61.2"/>
    <n v="16.13"/>
    <n v="876.92000000000019"/>
    <n v="917.49"/>
    <n v="40.569999999999823"/>
    <n v="4.4218465596355082E-2"/>
    <x v="1"/>
    <s v="Pending"/>
    <s v="Approved"/>
    <x v="0"/>
    <s v="No"/>
    <x v="0"/>
  </r>
  <r>
    <s v="TR-0123"/>
    <s v="Victoria Ward"/>
    <x v="2"/>
    <x v="0"/>
    <s v="Orlando, FL"/>
    <x v="7"/>
    <x v="0"/>
    <s v="Client Meeting"/>
    <s v="Travel Management Company"/>
    <d v="2026-02-21T00:00:00"/>
    <d v="2026-03-20T00:00:00"/>
    <d v="2026-03-24T00:00:00"/>
    <x v="0"/>
    <x v="0"/>
    <n v="3"/>
    <n v="27"/>
    <n v="4"/>
    <x v="0"/>
    <x v="5"/>
    <n v="306.66000000000003"/>
    <n v="1184.5899999999999"/>
    <n v="69.3"/>
    <n v="292.27"/>
    <n v="88.76"/>
    <n v="1941.58"/>
    <n v="1745.44"/>
    <n v="-196.13999999999987"/>
    <n v="-0.11237281144009525"/>
    <x v="0"/>
    <s v="Approved"/>
    <s v="Reimbursed"/>
    <x v="0"/>
    <s v="Yes"/>
    <x v="2"/>
  </r>
  <r>
    <s v="TR-0124"/>
    <s v="David Salazar"/>
    <x v="0"/>
    <x v="0"/>
    <s v="Orlando, FL"/>
    <x v="5"/>
    <x v="0"/>
    <s v="Site Visit"/>
    <s v="Corporate Travel Portal"/>
    <d v="2026-01-27T00:00:00"/>
    <d v="2026-03-09T00:00:00"/>
    <d v="2026-03-13T00:00:00"/>
    <x v="0"/>
    <x v="0"/>
    <n v="3"/>
    <n v="41"/>
    <n v="4"/>
    <x v="3"/>
    <x v="4"/>
    <n v="190.24"/>
    <n v="1098.6300000000001"/>
    <n v="111.48"/>
    <n v="426.93"/>
    <n v="79.239999999999995"/>
    <n v="1906.5200000000002"/>
    <n v="1924.03"/>
    <n v="17.509999999999764"/>
    <n v="9.100689698185456E-3"/>
    <x v="1"/>
    <s v="Pending"/>
    <s v="Approved"/>
    <x v="0"/>
    <s v="No"/>
    <x v="0"/>
  </r>
  <r>
    <s v="TR-0125"/>
    <s v="Diana Gray"/>
    <x v="3"/>
    <x v="3"/>
    <s v="Orlando, FL"/>
    <x v="16"/>
    <x v="0"/>
    <s v="Leadership Workshop"/>
    <s v="Travel Management Company"/>
    <d v="2026-04-23T00:00:00"/>
    <d v="2026-05-07T00:00:00"/>
    <d v="2026-05-10T00:00:00"/>
    <x v="4"/>
    <x v="4"/>
    <n v="5"/>
    <n v="14"/>
    <n v="3"/>
    <x v="5"/>
    <x v="6"/>
    <n v="570.75"/>
    <n v="884.53"/>
    <n v="181.85"/>
    <n v="223.66"/>
    <n v="50.45"/>
    <n v="1911.24"/>
    <n v="2132.4899999999998"/>
    <n v="221.24999999999977"/>
    <n v="0.10375195194350258"/>
    <x v="1"/>
    <s v="Approved"/>
    <s v="Submitted"/>
    <x v="1"/>
    <s v="Yes"/>
    <x v="1"/>
  </r>
  <r>
    <s v="TR-0126"/>
    <s v="Nicholas Herrera"/>
    <x v="0"/>
    <x v="1"/>
    <s v="Orlando, FL"/>
    <x v="7"/>
    <x v="0"/>
    <s v="Industry Conference"/>
    <s v="Travel Management Company"/>
    <d v="2026-04-02T00:00:00"/>
    <d v="2026-05-03T00:00:00"/>
    <d v="2026-05-05T00:00:00"/>
    <x v="4"/>
    <x v="4"/>
    <n v="5"/>
    <n v="31"/>
    <n v="2"/>
    <x v="4"/>
    <x v="0"/>
    <n v="254.69"/>
    <n v="541.07000000000005"/>
    <n v="71.98"/>
    <n v="160.78"/>
    <n v="67.86"/>
    <n v="1096.3799999999999"/>
    <n v="1112.52"/>
    <n v="16.1400000000001"/>
    <n v="1.4507604357674559E-2"/>
    <x v="1"/>
    <s v="Pending"/>
    <s v="Reimbursed"/>
    <x v="0"/>
    <s v="No"/>
    <x v="0"/>
  </r>
  <r>
    <s v="TR-0127"/>
    <s v="Lucia Mitchell"/>
    <x v="3"/>
    <x v="1"/>
    <s v="Orlando, FL"/>
    <x v="14"/>
    <x v="1"/>
    <s v="Vendor Negotiation"/>
    <s v="Corporate Travel Portal"/>
    <d v="2026-04-17T00:00:00"/>
    <d v="2026-04-22T00:00:00"/>
    <d v="2026-04-29T00:00:00"/>
    <x v="1"/>
    <x v="1"/>
    <n v="4"/>
    <n v="5"/>
    <n v="7"/>
    <x v="7"/>
    <x v="4"/>
    <n v="1329.36"/>
    <n v="1551.23"/>
    <n v="223.17"/>
    <n v="621.54999999999995"/>
    <n v="116.11"/>
    <n v="3841.4200000000005"/>
    <n v="4125.7700000000004"/>
    <n v="284.34999999999991"/>
    <n v="6.8920468179273178E-2"/>
    <x v="1"/>
    <s v="Approved"/>
    <s v="Reimbursed"/>
    <x v="0"/>
    <s v="Yes"/>
    <x v="3"/>
  </r>
  <r>
    <s v="TR-0128"/>
    <s v="Mariana Brooks"/>
    <x v="2"/>
    <x v="2"/>
    <s v="Orlando, FL"/>
    <x v="14"/>
    <x v="1"/>
    <s v="Site Visit"/>
    <s v="Corporate Travel Portal"/>
    <d v="2026-04-18T00:00:00"/>
    <d v="2026-05-27T00:00:00"/>
    <d v="2026-06-03T00:00:00"/>
    <x v="4"/>
    <x v="4"/>
    <n v="5"/>
    <n v="39"/>
    <n v="7"/>
    <x v="6"/>
    <x v="2"/>
    <n v="1408.35"/>
    <n v="1995.62"/>
    <n v="156.24"/>
    <n v="395.32"/>
    <n v="18.82"/>
    <n v="3974.3500000000004"/>
    <n v="3993.4"/>
    <n v="19.049999999999727"/>
    <n v="4.770371112335285E-3"/>
    <x v="1"/>
    <s v="Approved"/>
    <s v="Submitted"/>
    <x v="1"/>
    <s v="Yes"/>
    <x v="1"/>
  </r>
  <r>
    <s v="TR-0129"/>
    <s v="Benjamin Vargas"/>
    <x v="0"/>
    <x v="4"/>
    <s v="Orlando, FL"/>
    <x v="12"/>
    <x v="0"/>
    <s v="Board Meeting"/>
    <s v="Corporate Travel Portal"/>
    <d v="2026-03-26T00:00:00"/>
    <d v="2026-05-01T00:00:00"/>
    <d v="2026-05-03T00:00:00"/>
    <x v="4"/>
    <x v="4"/>
    <n v="5"/>
    <n v="36"/>
    <n v="2"/>
    <x v="5"/>
    <x v="3"/>
    <n v="556.42999999999995"/>
    <n v="301.5"/>
    <n v="52.82"/>
    <n v="195.29"/>
    <n v="4.07"/>
    <n v="1110.1099999999999"/>
    <n v="1091.1500000000001"/>
    <n v="-18.959999999999809"/>
    <n v="-1.7376162764056093E-2"/>
    <x v="0"/>
    <s v="Approved"/>
    <s v="Pending"/>
    <x v="0"/>
    <s v="No"/>
    <x v="0"/>
  </r>
  <r>
    <s v="TR-0130"/>
    <s v="Henry Alvarez"/>
    <x v="0"/>
    <x v="3"/>
    <s v="Orlando, FL"/>
    <x v="14"/>
    <x v="1"/>
    <s v="Vendor Negotiation"/>
    <s v="Executive Assistant Booking"/>
    <d v="2026-02-05T00:00:00"/>
    <d v="2026-02-18T00:00:00"/>
    <d v="2026-02-25T00:00:00"/>
    <x v="5"/>
    <x v="5"/>
    <n v="2"/>
    <n v="13"/>
    <n v="7"/>
    <x v="1"/>
    <x v="0"/>
    <n v="955.04"/>
    <n v="1868.71"/>
    <n v="116.11"/>
    <n v="654"/>
    <n v="77.78"/>
    <n v="3671.6400000000003"/>
    <n v="3263.2"/>
    <n v="-408.44000000000051"/>
    <n v="-0.1251654817357197"/>
    <x v="0"/>
    <s v="Pending"/>
    <s v="Approved"/>
    <x v="0"/>
    <s v="Yes"/>
    <x v="2"/>
  </r>
  <r>
    <s v="TR-0131"/>
    <s v="James Campos"/>
    <x v="3"/>
    <x v="3"/>
    <s v="Orlando, FL"/>
    <x v="16"/>
    <x v="0"/>
    <s v="Client Meeting"/>
    <s v="Corporate Travel Portal"/>
    <d v="2026-02-06T00:00:00"/>
    <d v="2026-03-17T00:00:00"/>
    <d v="2026-03-18T00:00:00"/>
    <x v="0"/>
    <x v="0"/>
    <n v="3"/>
    <n v="39"/>
    <n v="1"/>
    <x v="0"/>
    <x v="7"/>
    <n v="277.66000000000003"/>
    <n v="247.31"/>
    <n v="130.66"/>
    <n v="112.95"/>
    <n v="56.41"/>
    <n v="824.99"/>
    <n v="822.18"/>
    <n v="-2.8100000000000591"/>
    <n v="-3.4177430732930249E-3"/>
    <x v="0"/>
    <s v="Approved"/>
    <s v="Approved"/>
    <x v="0"/>
    <s v="No"/>
    <x v="0"/>
  </r>
  <r>
    <s v="TR-0132"/>
    <s v="Natalia Cooper"/>
    <x v="0"/>
    <x v="5"/>
    <s v="Orlando, FL"/>
    <x v="4"/>
    <x v="1"/>
    <s v="Client Meeting"/>
    <s v="Corporate Travel Portal"/>
    <d v="2026-05-21T00:00:00"/>
    <d v="2026-06-12T00:00:00"/>
    <d v="2026-06-16T00:00:00"/>
    <x v="2"/>
    <x v="2"/>
    <n v="6"/>
    <n v="22"/>
    <n v="4"/>
    <x v="7"/>
    <x v="7"/>
    <n v="962.43"/>
    <n v="848.88"/>
    <n v="163.33000000000001"/>
    <n v="253.93"/>
    <n v="69.92"/>
    <n v="2298.4899999999998"/>
    <n v="2433.9299999999998"/>
    <n v="135.44000000000005"/>
    <n v="5.5646629114230919E-2"/>
    <x v="1"/>
    <s v="Pending"/>
    <s v="Reimbursed"/>
    <x v="0"/>
    <s v="No"/>
    <x v="0"/>
  </r>
  <r>
    <s v="TR-0133"/>
    <s v="Thomas Ramirez"/>
    <x v="3"/>
    <x v="5"/>
    <s v="Orlando, FL"/>
    <x v="10"/>
    <x v="1"/>
    <s v="Strategy Session"/>
    <s v="Corporate Travel Portal"/>
    <d v="2026-05-12T00:00:00"/>
    <d v="2026-06-19T00:00:00"/>
    <d v="2026-06-23T00:00:00"/>
    <x v="2"/>
    <x v="2"/>
    <n v="6"/>
    <n v="38"/>
    <n v="4"/>
    <x v="6"/>
    <x v="6"/>
    <n v="936.31"/>
    <n v="800.74"/>
    <n v="159.76"/>
    <n v="222.3"/>
    <n v="24.58"/>
    <n v="2143.69"/>
    <n v="2410.7199999999998"/>
    <n v="267.02999999999975"/>
    <n v="0.11076773743943709"/>
    <x v="1"/>
    <s v="Pending"/>
    <s v="Approved"/>
    <x v="0"/>
    <s v="No"/>
    <x v="0"/>
  </r>
  <r>
    <s v="TR-0134"/>
    <s v="Caroline Evans"/>
    <x v="3"/>
    <x v="3"/>
    <s v="Orlando, FL"/>
    <x v="8"/>
    <x v="1"/>
    <s v="Strategy Session"/>
    <s v="Direct Airline"/>
    <d v="2026-03-18T00:00:00"/>
    <d v="2026-04-21T00:00:00"/>
    <d v="2026-04-27T00:00:00"/>
    <x v="1"/>
    <x v="1"/>
    <n v="4"/>
    <n v="34"/>
    <n v="6"/>
    <x v="4"/>
    <x v="1"/>
    <n v="804.28"/>
    <n v="1396.32"/>
    <n v="142.16999999999999"/>
    <n v="611.07000000000005"/>
    <n v="101.82"/>
    <n v="3055.6600000000003"/>
    <n v="3397.17"/>
    <n v="341.50999999999976"/>
    <n v="0.10052779225060852"/>
    <x v="1"/>
    <s v="Approved"/>
    <s v="Approved"/>
    <x v="0"/>
    <s v="No"/>
    <x v="0"/>
  </r>
  <r>
    <s v="TR-0135"/>
    <s v="Paula Murphy"/>
    <x v="2"/>
    <x v="2"/>
    <s v="Orlando, FL"/>
    <x v="2"/>
    <x v="0"/>
    <s v="Executive Meeting"/>
    <s v="Executive Assistant Booking"/>
    <d v="2026-02-05T00:00:00"/>
    <d v="2026-03-14T00:00:00"/>
    <d v="2026-03-17T00:00:00"/>
    <x v="0"/>
    <x v="0"/>
    <n v="3"/>
    <n v="37"/>
    <n v="3"/>
    <x v="3"/>
    <x v="5"/>
    <n v="459.13"/>
    <n v="562.9"/>
    <n v="219.88"/>
    <n v="245.95"/>
    <n v="62.74"/>
    <n v="1550.6"/>
    <n v="1744.45"/>
    <n v="193.85000000000014"/>
    <n v="0.11112384992404491"/>
    <x v="1"/>
    <s v="Approved"/>
    <s v="Submitted"/>
    <x v="0"/>
    <s v="No"/>
    <x v="0"/>
  </r>
  <r>
    <s v="TR-0136"/>
    <s v="Henry Alvarez"/>
    <x v="0"/>
    <x v="3"/>
    <s v="Orlando, FL"/>
    <x v="16"/>
    <x v="0"/>
    <s v="Leadership Workshop"/>
    <s v="Direct Airline"/>
    <d v="2026-04-23T00:00:00"/>
    <d v="2026-06-04T00:00:00"/>
    <d v="2026-06-07T00:00:00"/>
    <x v="2"/>
    <x v="2"/>
    <n v="6"/>
    <n v="42"/>
    <n v="3"/>
    <x v="2"/>
    <x v="7"/>
    <n v="626.91999999999996"/>
    <n v="693.64"/>
    <n v="138.15"/>
    <n v="272.43"/>
    <n v="30.31"/>
    <n v="1761.45"/>
    <n v="2067.41"/>
    <n v="305.95999999999981"/>
    <n v="0.14799193193415908"/>
    <x v="1"/>
    <s v="Approved"/>
    <s v="Reimbursed"/>
    <x v="0"/>
    <s v="No"/>
    <x v="0"/>
  </r>
  <r>
    <s v="TR-0137"/>
    <s v="Mariana Brooks"/>
    <x v="2"/>
    <x v="2"/>
    <s v="Orlando, FL"/>
    <x v="2"/>
    <x v="0"/>
    <s v="Industry Conference"/>
    <s v="Corporate Travel Portal"/>
    <d v="2026-02-02T00:00:00"/>
    <d v="2026-02-08T00:00:00"/>
    <d v="2026-02-12T00:00:00"/>
    <x v="5"/>
    <x v="5"/>
    <n v="2"/>
    <n v="6"/>
    <n v="4"/>
    <x v="2"/>
    <x v="7"/>
    <n v="1172.3599999999999"/>
    <n v="992.79"/>
    <n v="130.66"/>
    <n v="358.58"/>
    <n v="48.37"/>
    <n v="2702.7599999999993"/>
    <n v="2714.29"/>
    <n v="11.530000000000655"/>
    <n v="4.2478880296507211E-3"/>
    <x v="1"/>
    <s v="Approved"/>
    <s v="Submitted"/>
    <x v="0"/>
    <s v="No"/>
    <x v="0"/>
  </r>
  <r>
    <s v="TR-0138"/>
    <s v="Ethan Silva"/>
    <x v="3"/>
    <x v="5"/>
    <s v="Orlando, FL"/>
    <x v="1"/>
    <x v="1"/>
    <s v="Board Meeting"/>
    <s v="Travel Management Company"/>
    <d v="2026-04-20T00:00:00"/>
    <d v="2026-05-16T00:00:00"/>
    <d v="2026-05-21T00:00:00"/>
    <x v="4"/>
    <x v="4"/>
    <n v="5"/>
    <n v="26"/>
    <n v="5"/>
    <x v="6"/>
    <x v="2"/>
    <n v="1655.8"/>
    <n v="1754.81"/>
    <n v="93.29"/>
    <n v="566.65"/>
    <n v="114.27"/>
    <n v="4184.82"/>
    <n v="4558.05"/>
    <n v="373.23000000000047"/>
    <n v="8.1883700266561457E-2"/>
    <x v="1"/>
    <s v="Approved"/>
    <s v="Approved"/>
    <x v="0"/>
    <s v="No"/>
    <x v="0"/>
  </r>
  <r>
    <s v="TR-0139"/>
    <s v="Marco Rivera"/>
    <x v="3"/>
    <x v="3"/>
    <s v="Orlando, FL"/>
    <x v="16"/>
    <x v="0"/>
    <s v="Industry Conference"/>
    <s v="Travel Management Company"/>
    <d v="2026-04-18T00:00:00"/>
    <d v="2026-05-11T00:00:00"/>
    <d v="2026-05-14T00:00:00"/>
    <x v="4"/>
    <x v="4"/>
    <n v="5"/>
    <n v="23"/>
    <n v="3"/>
    <x v="5"/>
    <x v="7"/>
    <n v="486.64"/>
    <n v="585"/>
    <n v="164.45"/>
    <n v="173.71"/>
    <n v="17.920000000000002"/>
    <n v="1427.72"/>
    <n v="1592.15"/>
    <n v="164.43000000000006"/>
    <n v="0.10327544515278086"/>
    <x v="1"/>
    <s v="Approved"/>
    <s v="Submitted"/>
    <x v="0"/>
    <s v="No"/>
    <x v="0"/>
  </r>
  <r>
    <s v="TR-0140"/>
    <s v="Ava Price"/>
    <x v="0"/>
    <x v="6"/>
    <s v="Orlando, FL"/>
    <x v="4"/>
    <x v="1"/>
    <s v="Site Visit"/>
    <s v="Direct Airline"/>
    <d v="2026-04-01T00:00:00"/>
    <d v="2026-05-01T00:00:00"/>
    <d v="2026-05-04T00:00:00"/>
    <x v="4"/>
    <x v="4"/>
    <n v="5"/>
    <n v="30"/>
    <n v="3"/>
    <x v="7"/>
    <x v="7"/>
    <n v="967.49"/>
    <n v="1069.6600000000001"/>
    <n v="93.33"/>
    <n v="229.88"/>
    <n v="14.84"/>
    <n v="2375.2000000000003"/>
    <n v="2563.6799999999998"/>
    <n v="188.47999999999956"/>
    <n v="7.3519315983273881E-2"/>
    <x v="1"/>
    <s v="Approved"/>
    <s v="Submitted"/>
    <x v="0"/>
    <s v="No"/>
    <x v="0"/>
  </r>
  <r>
    <s v="TR-0141"/>
    <s v="Benjamin Vargas"/>
    <x v="0"/>
    <x v="4"/>
    <s v="Orlando, FL"/>
    <x v="9"/>
    <x v="0"/>
    <s v="Executive Meeting"/>
    <s v="Corporate Travel Portal"/>
    <d v="2026-04-15T00:00:00"/>
    <d v="2026-04-24T00:00:00"/>
    <d v="2026-04-25T00:00:00"/>
    <x v="1"/>
    <x v="1"/>
    <n v="4"/>
    <n v="9"/>
    <n v="1"/>
    <x v="2"/>
    <x v="3"/>
    <n v="548.4"/>
    <n v="323.89"/>
    <n v="122.89"/>
    <n v="55.48"/>
    <n v="61.84"/>
    <n v="1112.4999999999998"/>
    <n v="1019.25"/>
    <n v="-93.249999999999773"/>
    <n v="-9.1488839833210475E-2"/>
    <x v="0"/>
    <s v="Approved"/>
    <s v="Pending"/>
    <x v="0"/>
    <s v="No"/>
    <x v="0"/>
  </r>
  <r>
    <s v="TR-0142"/>
    <s v="Sophia Foster"/>
    <x v="1"/>
    <x v="1"/>
    <s v="Orlando, FL"/>
    <x v="9"/>
    <x v="0"/>
    <s v="Client Meeting"/>
    <s v="Direct Airline"/>
    <d v="2026-04-04T00:00:00"/>
    <d v="2026-04-13T00:00:00"/>
    <d v="2026-04-14T00:00:00"/>
    <x v="1"/>
    <x v="1"/>
    <n v="4"/>
    <n v="9"/>
    <n v="1"/>
    <x v="5"/>
    <x v="2"/>
    <n v="288.16000000000003"/>
    <n v="374.69"/>
    <n v="176.8"/>
    <n v="62.99"/>
    <n v="178.73"/>
    <n v="1081.3700000000001"/>
    <n v="997.95"/>
    <n v="-83.420000000000073"/>
    <n v="-8.3591362292700103E-2"/>
    <x v="0"/>
    <s v="Pending"/>
    <s v="Approved"/>
    <x v="0"/>
    <s v="No"/>
    <x v="0"/>
  </r>
  <r>
    <s v="TR-0143"/>
    <s v="Ava Price"/>
    <x v="0"/>
    <x v="6"/>
    <s v="Orlando, FL"/>
    <x v="4"/>
    <x v="1"/>
    <s v="Strategy Session"/>
    <s v="Direct Airline"/>
    <d v="2026-02-20T00:00:00"/>
    <d v="2026-04-04T00:00:00"/>
    <d v="2026-04-08T00:00:00"/>
    <x v="1"/>
    <x v="1"/>
    <n v="4"/>
    <n v="43"/>
    <n v="4"/>
    <x v="6"/>
    <x v="3"/>
    <n v="684.04"/>
    <n v="1331.86"/>
    <n v="217.39"/>
    <n v="312.17"/>
    <n v="173.38"/>
    <n v="2718.84"/>
    <n v="2649.1"/>
    <n v="-69.740000000000236"/>
    <n v="-2.6325922011249194E-2"/>
    <x v="0"/>
    <s v="Approved"/>
    <s v="Approved"/>
    <x v="0"/>
    <s v="No"/>
    <x v="0"/>
  </r>
  <r>
    <s v="TR-0144"/>
    <s v="Ethan Silva"/>
    <x v="3"/>
    <x v="5"/>
    <s v="Orlando, FL"/>
    <x v="9"/>
    <x v="0"/>
    <s v="Industry Conference"/>
    <s v="Travel Management Company"/>
    <d v="2026-05-22T00:00:00"/>
    <d v="2026-05-26T00:00:00"/>
    <d v="2026-05-29T00:00:00"/>
    <x v="4"/>
    <x v="4"/>
    <n v="5"/>
    <n v="4"/>
    <n v="3"/>
    <x v="2"/>
    <x v="5"/>
    <n v="459.31"/>
    <n v="1198.75"/>
    <n v="212.07"/>
    <n v="254.08"/>
    <n v="20.29"/>
    <n v="2144.5"/>
    <n v="2208.5700000000002"/>
    <n v="64.070000000000164"/>
    <n v="2.9009721222329452E-2"/>
    <x v="1"/>
    <s v="Pending"/>
    <s v="Submitted"/>
    <x v="0"/>
    <s v="No"/>
    <x v="0"/>
  </r>
  <r>
    <s v="TR-0145"/>
    <s v="David Salazar"/>
    <x v="0"/>
    <x v="0"/>
    <s v="Orlando, FL"/>
    <x v="12"/>
    <x v="0"/>
    <s v="Leadership Workshop"/>
    <s v="Direct Airline"/>
    <d v="2025-12-30T00:00:00"/>
    <d v="2026-02-07T00:00:00"/>
    <d v="2026-02-11T00:00:00"/>
    <x v="5"/>
    <x v="5"/>
    <n v="2"/>
    <n v="39"/>
    <n v="4"/>
    <x v="5"/>
    <x v="7"/>
    <n v="699.02"/>
    <n v="570.67999999999995"/>
    <n v="56.82"/>
    <n v="282.92"/>
    <n v="7.17"/>
    <n v="1616.61"/>
    <n v="1451.94"/>
    <n v="-164.66999999999985"/>
    <n v="-0.11341377742881927"/>
    <x v="0"/>
    <s v="Approved"/>
    <s v="Approved"/>
    <x v="0"/>
    <s v="Yes"/>
    <x v="2"/>
  </r>
  <r>
    <s v="TR-0146"/>
    <s v="Marco Rivera"/>
    <x v="3"/>
    <x v="3"/>
    <s v="Orlando, FL"/>
    <x v="1"/>
    <x v="1"/>
    <s v="Strategy Session"/>
    <s v="Corporate Travel Portal"/>
    <d v="2025-12-20T00:00:00"/>
    <d v="2026-01-26T00:00:00"/>
    <d v="2026-02-02T00:00:00"/>
    <x v="3"/>
    <x v="3"/>
    <n v="1"/>
    <n v="37"/>
    <n v="7"/>
    <x v="5"/>
    <x v="4"/>
    <n v="1098.72"/>
    <n v="2404.7199999999998"/>
    <n v="204.1"/>
    <n v="549.11"/>
    <n v="114.17"/>
    <n v="4370.82"/>
    <n v="4940.59"/>
    <n v="569.77000000000044"/>
    <n v="0.1153242831321766"/>
    <x v="1"/>
    <s v="Approved"/>
    <s v="Reimbursed"/>
    <x v="0"/>
    <s v="No"/>
    <x v="0"/>
  </r>
  <r>
    <s v="TR-0147"/>
    <s v="Henry Alvarez"/>
    <x v="0"/>
    <x v="3"/>
    <s v="Orlando, FL"/>
    <x v="6"/>
    <x v="0"/>
    <s v="Client Meeting"/>
    <s v="Corporate Travel Portal"/>
    <d v="2026-02-06T00:00:00"/>
    <d v="2026-03-08T00:00:00"/>
    <d v="2026-03-09T00:00:00"/>
    <x v="0"/>
    <x v="0"/>
    <n v="3"/>
    <n v="30"/>
    <n v="1"/>
    <x v="3"/>
    <x v="1"/>
    <n v="584.72"/>
    <n v="159.11000000000001"/>
    <n v="168.88"/>
    <n v="97.09"/>
    <n v="29.49"/>
    <n v="1039.29"/>
    <n v="1211.71"/>
    <n v="172.42000000000007"/>
    <n v="0.14229477350191058"/>
    <x v="1"/>
    <s v="Pending"/>
    <s v="Approved"/>
    <x v="0"/>
    <s v="No"/>
    <x v="0"/>
  </r>
  <r>
    <s v="TR-0148"/>
    <s v="Sofia Collins"/>
    <x v="0"/>
    <x v="1"/>
    <s v="Orlando, FL"/>
    <x v="11"/>
    <x v="0"/>
    <s v="Client Meeting"/>
    <s v="Direct Airline"/>
    <d v="2026-03-21T00:00:00"/>
    <d v="2026-04-10T00:00:00"/>
    <d v="2026-04-12T00:00:00"/>
    <x v="1"/>
    <x v="1"/>
    <n v="4"/>
    <n v="20"/>
    <n v="2"/>
    <x v="4"/>
    <x v="2"/>
    <n v="365.03"/>
    <n v="465.55"/>
    <n v="169.66"/>
    <n v="179.2"/>
    <n v="13.87"/>
    <n v="1193.3099999999997"/>
    <n v="1213.07"/>
    <n v="19.760000000000218"/>
    <n v="1.62892495898837E-2"/>
    <x v="1"/>
    <s v="Approved"/>
    <s v="Submitted"/>
    <x v="0"/>
    <s v="No"/>
    <x v="0"/>
  </r>
  <r>
    <s v="TR-0149"/>
    <s v="Paula Murphy"/>
    <x v="2"/>
    <x v="2"/>
    <s v="Orlando, FL"/>
    <x v="11"/>
    <x v="0"/>
    <s v="Client Meeting"/>
    <s v="Corporate Travel Portal"/>
    <d v="2026-03-21T00:00:00"/>
    <d v="2026-04-09T00:00:00"/>
    <d v="2026-04-11T00:00:00"/>
    <x v="1"/>
    <x v="1"/>
    <n v="4"/>
    <n v="19"/>
    <n v="2"/>
    <x v="0"/>
    <x v="4"/>
    <n v="500.03"/>
    <n v="457.62"/>
    <n v="196.01"/>
    <n v="139.35"/>
    <n v="84.92"/>
    <n v="1377.9299999999998"/>
    <n v="1370.89"/>
    <n v="-7.0399999999997362"/>
    <n v="-5.1353500280837527E-3"/>
    <x v="0"/>
    <s v="Approved"/>
    <s v="Approved"/>
    <x v="1"/>
    <s v="No"/>
    <x v="0"/>
  </r>
  <r>
    <s v="TR-0150"/>
    <s v="Nicholas Herrera"/>
    <x v="0"/>
    <x v="1"/>
    <s v="Orlando, FL"/>
    <x v="15"/>
    <x v="1"/>
    <s v="Leadership Workshop"/>
    <s v="Corporate Travel Portal"/>
    <d v="2026-02-13T00:00:00"/>
    <d v="2026-03-03T00:00:00"/>
    <d v="2026-03-08T00:00:00"/>
    <x v="0"/>
    <x v="0"/>
    <n v="3"/>
    <n v="18"/>
    <n v="5"/>
    <x v="7"/>
    <x v="2"/>
    <n v="785.68"/>
    <n v="1304.17"/>
    <n v="195.51"/>
    <n v="545.58000000000004"/>
    <n v="32.28"/>
    <n v="2863.22"/>
    <n v="3210.53"/>
    <n v="347.3100000000004"/>
    <n v="0.108178400451016"/>
    <x v="1"/>
    <s v="Approved"/>
    <s v="Reimbursed"/>
    <x v="0"/>
    <s v="No"/>
    <x v="0"/>
  </r>
  <r>
    <s v="TR-0151"/>
    <s v="Leo Torres"/>
    <x v="0"/>
    <x v="0"/>
    <s v="Orlando, FL"/>
    <x v="13"/>
    <x v="0"/>
    <s v="Board Meeting"/>
    <s v="Corporate Travel Portal"/>
    <d v="2026-03-17T00:00:00"/>
    <d v="2026-03-25T00:00:00"/>
    <d v="2026-03-28T00:00:00"/>
    <x v="0"/>
    <x v="0"/>
    <n v="3"/>
    <n v="8"/>
    <n v="3"/>
    <x v="4"/>
    <x v="2"/>
    <n v="690.88"/>
    <n v="718.9"/>
    <n v="126.19"/>
    <n v="271.5"/>
    <n v="88.8"/>
    <n v="1896.27"/>
    <n v="2108.2399999999998"/>
    <n v="211.9699999999998"/>
    <n v="0.10054358137593435"/>
    <x v="1"/>
    <s v="Approved"/>
    <s v="Pending"/>
    <x v="1"/>
    <s v="Yes"/>
    <x v="1"/>
  </r>
  <r>
    <s v="TR-0152"/>
    <s v="Mateo Navarro"/>
    <x v="0"/>
    <x v="1"/>
    <s v="Orlando, FL"/>
    <x v="7"/>
    <x v="0"/>
    <s v="Vendor Negotiation"/>
    <s v="Corporate Travel Portal"/>
    <d v="2026-04-02T00:00:00"/>
    <d v="2026-04-19T00:00:00"/>
    <d v="2026-04-20T00:00:00"/>
    <x v="1"/>
    <x v="1"/>
    <n v="4"/>
    <n v="17"/>
    <n v="1"/>
    <x v="4"/>
    <x v="2"/>
    <n v="584.66"/>
    <n v="389.8"/>
    <n v="172.26"/>
    <n v="61.24"/>
    <n v="95.37"/>
    <n v="1303.33"/>
    <n v="1240.05"/>
    <n v="-63.279999999999973"/>
    <n v="-5.1030200395145338E-2"/>
    <x v="0"/>
    <s v="Approved"/>
    <s v="Submitted"/>
    <x v="1"/>
    <s v="Yes"/>
    <x v="1"/>
  </r>
  <r>
    <s v="TR-0153"/>
    <s v="Ethan Silva"/>
    <x v="3"/>
    <x v="5"/>
    <s v="Orlando, FL"/>
    <x v="6"/>
    <x v="0"/>
    <s v="Board Meeting"/>
    <s v="Travel Management Company"/>
    <d v="2026-02-07T00:00:00"/>
    <d v="2026-03-05T00:00:00"/>
    <d v="2026-03-09T00:00:00"/>
    <x v="0"/>
    <x v="0"/>
    <n v="3"/>
    <n v="26"/>
    <n v="4"/>
    <x v="4"/>
    <x v="4"/>
    <n v="573.21"/>
    <n v="812.38"/>
    <n v="148.58000000000001"/>
    <n v="234.95"/>
    <n v="119.24"/>
    <n v="1888.3600000000001"/>
    <n v="1735.8"/>
    <n v="-152.56000000000017"/>
    <n v="-8.789030994354198E-2"/>
    <x v="0"/>
    <s v="Approved"/>
    <s v="Reimbursed"/>
    <x v="1"/>
    <s v="No"/>
    <x v="0"/>
  </r>
  <r>
    <s v="TR-0154"/>
    <s v="Julian Paredes"/>
    <x v="0"/>
    <x v="7"/>
    <s v="Orlando, FL"/>
    <x v="12"/>
    <x v="0"/>
    <s v="Site Visit"/>
    <s v="Corporate Travel Portal"/>
    <d v="2026-03-07T00:00:00"/>
    <d v="2026-03-27T00:00:00"/>
    <d v="2026-03-31T00:00:00"/>
    <x v="0"/>
    <x v="0"/>
    <n v="3"/>
    <n v="20"/>
    <n v="4"/>
    <x v="4"/>
    <x v="5"/>
    <n v="648.98"/>
    <n v="629.74"/>
    <n v="63.49"/>
    <n v="327.9"/>
    <n v="56.53"/>
    <n v="1726.64"/>
    <n v="1581.98"/>
    <n v="-144.66000000000008"/>
    <n v="-9.1442369688618116E-2"/>
    <x v="0"/>
    <s v="Approved"/>
    <s v="Approved"/>
    <x v="0"/>
    <s v="No"/>
    <x v="0"/>
  </r>
  <r>
    <s v="TR-0155"/>
    <s v="Leo Torres"/>
    <x v="0"/>
    <x v="0"/>
    <s v="Orlando, FL"/>
    <x v="5"/>
    <x v="0"/>
    <s v="Industry Conference"/>
    <s v="Corporate Travel Portal"/>
    <d v="2026-01-22T00:00:00"/>
    <d v="2026-02-04T00:00:00"/>
    <d v="2026-02-05T00:00:00"/>
    <x v="5"/>
    <x v="5"/>
    <n v="2"/>
    <n v="13"/>
    <n v="1"/>
    <x v="0"/>
    <x v="1"/>
    <n v="698.25"/>
    <n v="163.72999999999999"/>
    <n v="169.45"/>
    <n v="113.1"/>
    <n v="71.319999999999993"/>
    <n v="1215.8499999999999"/>
    <n v="1087.8"/>
    <n v="-128.04999999999995"/>
    <n v="-0.11771465342893911"/>
    <x v="0"/>
    <s v="Approved"/>
    <s v="Reimbursed"/>
    <x v="1"/>
    <s v="Yes"/>
    <x v="2"/>
  </r>
  <r>
    <s v="TR-0156"/>
    <s v="Andrea Reed"/>
    <x v="0"/>
    <x v="4"/>
    <s v="Orlando, FL"/>
    <x v="10"/>
    <x v="1"/>
    <s v="Board Meeting"/>
    <s v="Corporate Travel Portal"/>
    <d v="2026-05-16T00:00:00"/>
    <d v="2026-05-25T00:00:00"/>
    <d v="2026-05-29T00:00:00"/>
    <x v="4"/>
    <x v="4"/>
    <n v="5"/>
    <n v="9"/>
    <n v="4"/>
    <x v="4"/>
    <x v="7"/>
    <n v="767.84"/>
    <n v="1353.53"/>
    <n v="125.57"/>
    <n v="267.55"/>
    <n v="72.099999999999994"/>
    <n v="2586.59"/>
    <n v="2808.74"/>
    <n v="222.14999999999964"/>
    <n v="7.9092404423335608E-2"/>
    <x v="1"/>
    <s v="Approved"/>
    <s v="Approved"/>
    <x v="0"/>
    <s v="No"/>
    <x v="0"/>
  </r>
  <r>
    <s v="TR-0157"/>
    <s v="Sophia Foster"/>
    <x v="1"/>
    <x v="1"/>
    <s v="Orlando, FL"/>
    <x v="7"/>
    <x v="0"/>
    <s v="Board Meeting"/>
    <s v="Executive Assistant Booking"/>
    <d v="2025-12-08T00:00:00"/>
    <d v="2026-01-21T00:00:00"/>
    <d v="2026-01-23T00:00:00"/>
    <x v="3"/>
    <x v="3"/>
    <n v="1"/>
    <n v="44"/>
    <n v="2"/>
    <x v="2"/>
    <x v="4"/>
    <n v="602.96"/>
    <n v="457.08"/>
    <n v="125.67"/>
    <n v="130.16"/>
    <n v="103.3"/>
    <n v="1419.17"/>
    <n v="1598.7"/>
    <n v="179.52999999999997"/>
    <n v="0.11229749171201599"/>
    <x v="1"/>
    <s v="Approved"/>
    <s v="Reimbursed"/>
    <x v="0"/>
    <s v="No"/>
    <x v="0"/>
  </r>
  <r>
    <s v="TR-0158"/>
    <s v="Marco Rivera"/>
    <x v="3"/>
    <x v="3"/>
    <s v="Orlando, FL"/>
    <x v="11"/>
    <x v="0"/>
    <s v="Industry Conference"/>
    <s v="Direct Airline"/>
    <d v="2026-03-22T00:00:00"/>
    <d v="2026-04-05T00:00:00"/>
    <d v="2026-04-07T00:00:00"/>
    <x v="1"/>
    <x v="1"/>
    <n v="4"/>
    <n v="14"/>
    <n v="2"/>
    <x v="5"/>
    <x v="3"/>
    <n v="229.75"/>
    <n v="687.67"/>
    <n v="88.01"/>
    <n v="145.41"/>
    <n v="74.16"/>
    <n v="1225"/>
    <n v="1280.3800000000001"/>
    <n v="55.380000000000109"/>
    <n v="4.3252784329652218E-2"/>
    <x v="1"/>
    <s v="Approved"/>
    <s v="Submitted"/>
    <x v="0"/>
    <s v="No"/>
    <x v="0"/>
  </r>
  <r>
    <s v="TR-0159"/>
    <s v="Mia Bailey"/>
    <x v="0"/>
    <x v="4"/>
    <s v="Orlando, FL"/>
    <x v="15"/>
    <x v="1"/>
    <s v="Executive Meeting"/>
    <s v="Travel Management Company"/>
    <d v="2026-02-07T00:00:00"/>
    <d v="2026-02-25T00:00:00"/>
    <d v="2026-03-04T00:00:00"/>
    <x v="5"/>
    <x v="5"/>
    <n v="2"/>
    <n v="18"/>
    <n v="7"/>
    <x v="6"/>
    <x v="2"/>
    <n v="1559.58"/>
    <n v="1787.57"/>
    <n v="211.41"/>
    <n v="520.07000000000005"/>
    <n v="48.68"/>
    <n v="4127.3099999999995"/>
    <n v="3664.3"/>
    <n v="-463.00999999999931"/>
    <n v="-0.12635701225336335"/>
    <x v="0"/>
    <s v="Pending"/>
    <s v="Approved"/>
    <x v="0"/>
    <s v="Yes"/>
    <x v="2"/>
  </r>
  <r>
    <s v="TR-0160"/>
    <s v="Noah Martinez"/>
    <x v="2"/>
    <x v="0"/>
    <s v="Orlando, FL"/>
    <x v="8"/>
    <x v="1"/>
    <s v="Site Visit"/>
    <s v="Corporate Travel Portal"/>
    <d v="2026-04-10T00:00:00"/>
    <d v="2026-05-20T00:00:00"/>
    <d v="2026-05-25T00:00:00"/>
    <x v="4"/>
    <x v="4"/>
    <n v="5"/>
    <n v="40"/>
    <n v="5"/>
    <x v="2"/>
    <x v="4"/>
    <n v="871.99"/>
    <n v="1701.68"/>
    <n v="254.27"/>
    <n v="504.21"/>
    <n v="170.6"/>
    <n v="3502.75"/>
    <n v="3687.37"/>
    <n v="184.61999999999989"/>
    <n v="5.0068205794373738E-2"/>
    <x v="1"/>
    <s v="Approved"/>
    <s v="Reimbursed"/>
    <x v="1"/>
    <s v="No"/>
    <x v="0"/>
  </r>
  <r>
    <m/>
    <m/>
    <x v="4"/>
    <x v="8"/>
    <m/>
    <x v="18"/>
    <x v="2"/>
    <m/>
    <m/>
    <m/>
    <m/>
    <m/>
    <x v="6"/>
    <x v="6"/>
    <m/>
    <m/>
    <m/>
    <x v="8"/>
    <x v="8"/>
    <m/>
    <m/>
    <m/>
    <m/>
    <m/>
    <m/>
    <m/>
    <m/>
    <m/>
    <x v="2"/>
    <m/>
    <m/>
    <x v="2"/>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208552-25A6-44A5-8259-2FFB478D8E04}" name="TablaDinámica11" cacheId="821"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location ref="A164:B165" firstHeaderRow="0" firstDataRow="1" firstDataCol="0"/>
  <pivotFields count="37">
    <pivotField dataField="1" showAll="0"/>
    <pivotField showAll="0"/>
    <pivotField showAll="0">
      <items count="6">
        <item x="1"/>
        <item x="2"/>
        <item x="0"/>
        <item x="3"/>
        <item x="4"/>
        <item t="default"/>
      </items>
    </pivotField>
    <pivotField showAll="0">
      <items count="10">
        <item x="1"/>
        <item x="0"/>
        <item x="2"/>
        <item x="4"/>
        <item x="5"/>
        <item x="3"/>
        <item x="6"/>
        <item x="7"/>
        <item x="8"/>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8">
        <item x="3"/>
        <item x="5"/>
        <item x="0"/>
        <item x="1"/>
        <item x="4"/>
        <item x="2"/>
        <item h="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defaultSubtotal="0">
      <items count="14">
        <item h="1" x="0"/>
        <item h="1" x="1"/>
        <item h="1" x="2"/>
        <item h="1" x="3"/>
        <item h="1" x="4"/>
        <item h="1" x="5"/>
        <item x="6"/>
        <item h="1" x="7"/>
        <item h="1" x="8"/>
        <item h="1" x="9"/>
        <item h="1" x="10"/>
        <item h="1" x="11"/>
        <item h="1" x="12"/>
        <item h="1" x="13"/>
      </items>
    </pivotField>
    <pivotField dragToRow="0" dragToCol="0" dragToPage="0" showAll="0" defaultSubtotal="0"/>
    <pivotField dragToRow="0" dragToCol="0" dragToPage="0" showAll="0" defaultSubtotal="0"/>
  </pivotFields>
  <rowItems count="1">
    <i/>
  </rowItems>
  <colFields count="1">
    <field x="-2"/>
  </colFields>
  <colItems count="2">
    <i>
      <x/>
    </i>
    <i i="1">
      <x v="1"/>
    </i>
  </colItems>
  <dataFields count="2">
    <dataField name="Cuenta de Exception_Reason" fld="33" subtotal="count" baseField="0" baseItem="0"/>
    <dataField name="Cuenta de Trip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DBD390A-EB20-4691-A1ED-4B9EC54490DD}" name="TablaDinámica1" cacheId="821"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4">
  <location ref="A3:B10" firstHeaderRow="1" firstDataRow="1" firstDataCol="1"/>
  <pivotFields count="37">
    <pivotField showAll="0"/>
    <pivotField showAll="0"/>
    <pivotField showAll="0">
      <items count="6">
        <item x="1"/>
        <item x="2"/>
        <item x="0"/>
        <item x="3"/>
        <item x="4"/>
        <item t="default"/>
      </items>
    </pivotField>
    <pivotField showAll="0">
      <items count="10">
        <item x="1"/>
        <item x="0"/>
        <item x="2"/>
        <item x="4"/>
        <item x="5"/>
        <item x="3"/>
        <item x="6"/>
        <item x="7"/>
        <item x="8"/>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8">
        <item x="3"/>
        <item x="5"/>
        <item x="0"/>
        <item x="1"/>
        <item x="4"/>
        <item x="2"/>
        <item h="1" x="6"/>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items count="15">
        <item h="1" x="0"/>
        <item sd="0" x="1"/>
        <item sd="0" x="2"/>
        <item sd="0" x="3"/>
        <item sd="0" x="4"/>
        <item x="5"/>
        <item sd="0" x="6"/>
        <item sd="0" x="7"/>
        <item sd="0" x="8"/>
        <item sd="0" x="9"/>
        <item sd="0" x="10"/>
        <item sd="0" x="11"/>
        <item sd="0" x="12"/>
        <item h="1" sd="0" x="13"/>
        <item t="default"/>
      </items>
    </pivotField>
    <pivotField dragToRow="0" dragToCol="0" dragToPage="0" showAll="0" defaultSubtotal="0"/>
    <pivotField dragToRow="0" dragToCol="0" dragToPage="0" showAll="0" defaultSubtotal="0"/>
  </pivotFields>
  <rowFields count="1">
    <field x="13"/>
  </rowFields>
  <rowItems count="7">
    <i>
      <x/>
    </i>
    <i>
      <x v="1"/>
    </i>
    <i>
      <x v="2"/>
    </i>
    <i>
      <x v="3"/>
    </i>
    <i>
      <x v="4"/>
    </i>
    <i>
      <x v="5"/>
    </i>
    <i t="grand">
      <x/>
    </i>
  </rowItems>
  <colItems count="1">
    <i/>
  </colItems>
  <dataFields count="1">
    <dataField name="Total Spend by Month." fld="24" baseField="32" baseItem="6" numFmtId="167"/>
  </dataFields>
  <formats count="1">
    <format dxfId="43">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FCF059-BAB6-4F9B-930C-876A36A75915}" name="TablaDinámica6" cacheId="821"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location ref="A79:B145" firstHeaderRow="1" firstDataRow="1" firstDataCol="1"/>
  <pivotFields count="37">
    <pivotField showAll="0"/>
    <pivotField showAll="0"/>
    <pivotField showAll="0">
      <items count="6">
        <item x="1"/>
        <item x="2"/>
        <item x="0"/>
        <item x="3"/>
        <item x="4"/>
        <item t="default"/>
      </items>
    </pivotField>
    <pivotField showAll="0">
      <items count="10">
        <item x="1"/>
        <item x="0"/>
        <item x="2"/>
        <item x="4"/>
        <item x="5"/>
        <item x="3"/>
        <item x="6"/>
        <item x="7"/>
        <item x="8"/>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8">
        <item x="3"/>
        <item x="5"/>
        <item x="0"/>
        <item x="1"/>
        <item x="4"/>
        <item x="2"/>
        <item h="1" x="6"/>
        <item t="default"/>
      </items>
    </pivotField>
    <pivotField showAll="0"/>
    <pivotField showAll="0"/>
    <pivotField showAll="0"/>
    <pivotField axis="axisRow" showAll="0">
      <items count="10">
        <item x="1"/>
        <item x="2"/>
        <item x="7"/>
        <item x="4"/>
        <item x="0"/>
        <item x="6"/>
        <item x="3"/>
        <item x="5"/>
        <item x="8"/>
        <item t="default"/>
      </items>
    </pivotField>
    <pivotField axis="axisRow" showAll="0">
      <items count="10">
        <item x="6"/>
        <item x="2"/>
        <item x="0"/>
        <item x="1"/>
        <item x="7"/>
        <item x="4"/>
        <item x="3"/>
        <item x="5"/>
        <item x="8"/>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defaultSubtotal="0">
      <items count="14">
        <item h="1" x="0"/>
        <item h="1" x="1"/>
        <item h="1" x="2"/>
        <item h="1" x="3"/>
        <item h="1" x="4"/>
        <item h="1" x="5"/>
        <item x="6"/>
        <item h="1" x="7"/>
        <item h="1" x="8"/>
        <item h="1" x="9"/>
        <item h="1" x="10"/>
        <item h="1" x="11"/>
        <item h="1" x="12"/>
        <item h="1" x="13"/>
      </items>
    </pivotField>
    <pivotField dragToRow="0" dragToCol="0" dragToPage="0" showAll="0" defaultSubtotal="0"/>
    <pivotField dragToRow="0" dragToCol="0" dragToPage="0" showAll="0" defaultSubtotal="0"/>
  </pivotFields>
  <rowFields count="2">
    <field x="17"/>
    <field x="18"/>
  </rowFields>
  <rowItems count="66">
    <i>
      <x/>
    </i>
    <i r="1">
      <x v="2"/>
    </i>
    <i r="1">
      <x v="3"/>
    </i>
    <i r="1">
      <x v="4"/>
    </i>
    <i r="1">
      <x v="5"/>
    </i>
    <i r="1">
      <x v="6"/>
    </i>
    <i r="1">
      <x v="7"/>
    </i>
    <i>
      <x v="1"/>
    </i>
    <i r="1">
      <x/>
    </i>
    <i r="1">
      <x v="1"/>
    </i>
    <i r="1">
      <x v="2"/>
    </i>
    <i r="1">
      <x v="3"/>
    </i>
    <i r="1">
      <x v="4"/>
    </i>
    <i r="1">
      <x v="5"/>
    </i>
    <i r="1">
      <x v="6"/>
    </i>
    <i r="1">
      <x v="7"/>
    </i>
    <i>
      <x v="2"/>
    </i>
    <i r="1">
      <x v="1"/>
    </i>
    <i r="1">
      <x v="3"/>
    </i>
    <i r="1">
      <x v="4"/>
    </i>
    <i r="1">
      <x v="5"/>
    </i>
    <i r="1">
      <x v="6"/>
    </i>
    <i r="1">
      <x v="7"/>
    </i>
    <i>
      <x v="3"/>
    </i>
    <i r="1">
      <x/>
    </i>
    <i r="1">
      <x v="1"/>
    </i>
    <i r="1">
      <x v="2"/>
    </i>
    <i r="1">
      <x v="3"/>
    </i>
    <i r="1">
      <x v="4"/>
    </i>
    <i r="1">
      <x v="5"/>
    </i>
    <i r="1">
      <x v="6"/>
    </i>
    <i r="1">
      <x v="7"/>
    </i>
    <i>
      <x v="4"/>
    </i>
    <i r="1">
      <x/>
    </i>
    <i r="1">
      <x v="1"/>
    </i>
    <i r="1">
      <x v="2"/>
    </i>
    <i r="1">
      <x v="3"/>
    </i>
    <i r="1">
      <x v="4"/>
    </i>
    <i r="1">
      <x v="5"/>
    </i>
    <i r="1">
      <x v="6"/>
    </i>
    <i r="1">
      <x v="7"/>
    </i>
    <i>
      <x v="5"/>
    </i>
    <i r="1">
      <x/>
    </i>
    <i r="1">
      <x v="1"/>
    </i>
    <i r="1">
      <x v="2"/>
    </i>
    <i r="1">
      <x v="3"/>
    </i>
    <i r="1">
      <x v="4"/>
    </i>
    <i r="1">
      <x v="6"/>
    </i>
    <i>
      <x v="6"/>
    </i>
    <i r="1">
      <x/>
    </i>
    <i r="1">
      <x v="1"/>
    </i>
    <i r="1">
      <x v="2"/>
    </i>
    <i r="1">
      <x v="3"/>
    </i>
    <i r="1">
      <x v="5"/>
    </i>
    <i r="1">
      <x v="6"/>
    </i>
    <i r="1">
      <x v="7"/>
    </i>
    <i>
      <x v="7"/>
    </i>
    <i r="1">
      <x/>
    </i>
    <i r="1">
      <x v="1"/>
    </i>
    <i r="1">
      <x v="2"/>
    </i>
    <i r="1">
      <x v="3"/>
    </i>
    <i r="1">
      <x v="4"/>
    </i>
    <i r="1">
      <x v="5"/>
    </i>
    <i r="1">
      <x v="6"/>
    </i>
    <i r="1">
      <x v="7"/>
    </i>
    <i t="grand">
      <x/>
    </i>
  </rowItems>
  <colItems count="1">
    <i/>
  </colItems>
  <dataFields count="1">
    <dataField name="Suma de Total_Actual_USD" fld="2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9A1F990-4223-4202-A1FF-E560854721D1}" name="TablaDinámica5" cacheId="821"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4" rowHeaderCaption="Hotel">
  <location ref="A63:B72" firstHeaderRow="1" firstDataRow="1" firstDataCol="1"/>
  <pivotFields count="37">
    <pivotField showAll="0"/>
    <pivotField showAll="0"/>
    <pivotField showAll="0">
      <items count="6">
        <item x="1"/>
        <item x="2"/>
        <item x="0"/>
        <item x="3"/>
        <item x="4"/>
        <item t="default"/>
      </items>
    </pivotField>
    <pivotField showAll="0">
      <items count="10">
        <item x="1"/>
        <item x="0"/>
        <item x="2"/>
        <item x="4"/>
        <item x="5"/>
        <item x="3"/>
        <item x="6"/>
        <item x="7"/>
        <item x="8"/>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8">
        <item x="3"/>
        <item x="5"/>
        <item x="0"/>
        <item x="1"/>
        <item x="4"/>
        <item x="2"/>
        <item h="1" x="6"/>
        <item t="default"/>
      </items>
    </pivotField>
    <pivotField showAll="0"/>
    <pivotField showAll="0"/>
    <pivotField showAll="0"/>
    <pivotField showAll="0"/>
    <pivotField axis="axisRow" showAll="0" sortType="descending">
      <items count="10">
        <item x="6"/>
        <item x="2"/>
        <item x="0"/>
        <item x="1"/>
        <item x="7"/>
        <item x="4"/>
        <item x="3"/>
        <item x="5"/>
        <item h="1" x="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defaultSubtotal="0">
      <items count="14">
        <item h="1" x="0"/>
        <item h="1" x="1"/>
        <item h="1" x="2"/>
        <item h="1" x="3"/>
        <item h="1" x="4"/>
        <item h="1" x="5"/>
        <item x="6"/>
        <item h="1" x="7"/>
        <item h="1" x="8"/>
        <item h="1" x="9"/>
        <item h="1" x="10"/>
        <item h="1" x="11"/>
        <item h="1" x="12"/>
        <item h="1" x="13"/>
      </items>
    </pivotField>
    <pivotField dragToRow="0" dragToCol="0" dragToPage="0" showAll="0" defaultSubtotal="0"/>
    <pivotField dragToRow="0" dragToCol="0" dragToPage="0" showAll="0" defaultSubtotal="0"/>
  </pivotFields>
  <rowFields count="1">
    <field x="18"/>
  </rowFields>
  <rowItems count="9">
    <i>
      <x v="6"/>
    </i>
    <i>
      <x v="1"/>
    </i>
    <i>
      <x v="7"/>
    </i>
    <i>
      <x v="5"/>
    </i>
    <i>
      <x v="4"/>
    </i>
    <i>
      <x v="3"/>
    </i>
    <i>
      <x/>
    </i>
    <i>
      <x v="2"/>
    </i>
    <i t="grand">
      <x/>
    </i>
  </rowItems>
  <colItems count="1">
    <i/>
  </colItems>
  <dataFields count="1">
    <dataField name="Total Spend" fld="24" baseField="0" baseItem="0" numFmtId="167"/>
  </dataFields>
  <formats count="2">
    <format dxfId="45">
      <pivotArea outline="0" collapsedLevelsAreSubtotals="1" fieldPosition="0"/>
    </format>
    <format dxfId="44">
      <pivotArea dataOnly="0" labelOnly="1" outline="0" axis="axisValues" fieldPosition="0"/>
    </format>
  </format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DA112A0-B11E-4E04-B12E-E08B5F5748EC}" name="TablaDinámica10" cacheId="821"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7">
  <location ref="A158:B161" firstHeaderRow="1" firstDataRow="1" firstDataCol="1"/>
  <pivotFields count="37">
    <pivotField dataField="1" showAll="0"/>
    <pivotField showAll="0"/>
    <pivotField showAll="0">
      <items count="6">
        <item x="1"/>
        <item x="2"/>
        <item x="0"/>
        <item x="3"/>
        <item x="4"/>
        <item t="default"/>
      </items>
    </pivotField>
    <pivotField showAll="0">
      <items count="10">
        <item x="1"/>
        <item x="0"/>
        <item x="2"/>
        <item x="4"/>
        <item x="5"/>
        <item x="3"/>
        <item x="6"/>
        <item x="7"/>
        <item x="8"/>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8">
        <item x="3"/>
        <item x="5"/>
        <item x="0"/>
        <item x="1"/>
        <item x="4"/>
        <item x="2"/>
        <item h="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h="1" x="2"/>
        <item t="default"/>
      </items>
    </pivotField>
    <pivotField showAll="0"/>
    <pivotField showAll="0"/>
    <pivotField showAll="0"/>
    <pivotField showAll="0"/>
    <pivotField showAll="0"/>
    <pivotField showAll="0" defaultSubtotal="0">
      <items count="14">
        <item h="1" x="0"/>
        <item h="1" x="1"/>
        <item h="1" x="2"/>
        <item h="1" x="3"/>
        <item h="1" x="4"/>
        <item h="1" x="5"/>
        <item x="6"/>
        <item h="1" x="7"/>
        <item h="1" x="8"/>
        <item h="1" x="9"/>
        <item h="1" x="10"/>
        <item h="1" x="11"/>
        <item h="1" x="12"/>
        <item h="1" x="13"/>
      </items>
    </pivotField>
    <pivotField dragToRow="0" dragToCol="0" dragToPage="0" showAll="0" defaultSubtotal="0"/>
    <pivotField dragToRow="0" dragToCol="0" dragToPage="0" showAll="0" defaultSubtotal="0"/>
  </pivotFields>
  <rowFields count="1">
    <field x="28"/>
  </rowFields>
  <rowItems count="3">
    <i>
      <x/>
    </i>
    <i>
      <x v="1"/>
    </i>
    <i t="grand">
      <x/>
    </i>
  </rowItems>
  <colItems count="1">
    <i/>
  </colItems>
  <dataFields count="1">
    <dataField name="Cuenta de Trip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ECB0673-2E92-4C54-BB93-16AFC5A3400B}" name="TablaDinámica4" cacheId="821"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20" rowHeaderCaption="Airline">
  <location ref="A50:B59" firstHeaderRow="1" firstDataRow="1" firstDataCol="1"/>
  <pivotFields count="37">
    <pivotField showAll="0"/>
    <pivotField showAll="0"/>
    <pivotField showAll="0">
      <items count="6">
        <item x="1"/>
        <item x="2"/>
        <item x="0"/>
        <item x="3"/>
        <item x="4"/>
        <item t="default"/>
      </items>
    </pivotField>
    <pivotField showAll="0">
      <items count="10">
        <item x="1"/>
        <item x="0"/>
        <item x="2"/>
        <item x="4"/>
        <item x="5"/>
        <item x="3"/>
        <item x="6"/>
        <item x="7"/>
        <item x="8"/>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8">
        <item x="3"/>
        <item x="5"/>
        <item x="0"/>
        <item x="1"/>
        <item x="4"/>
        <item x="2"/>
        <item h="1" x="6"/>
        <item t="default"/>
      </items>
    </pivotField>
    <pivotField showAll="0"/>
    <pivotField showAll="0"/>
    <pivotField showAll="0"/>
    <pivotField axis="axisRow" showAll="0" sortType="descending">
      <items count="10">
        <item x="1"/>
        <item x="2"/>
        <item x="7"/>
        <item x="4"/>
        <item x="0"/>
        <item x="6"/>
        <item x="3"/>
        <item x="5"/>
        <item h="1" x="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defaultSubtotal="0">
      <items count="14">
        <item h="1" x="0"/>
        <item h="1" x="1"/>
        <item h="1" x="2"/>
        <item h="1" x="3"/>
        <item h="1" x="4"/>
        <item h="1" x="5"/>
        <item x="6"/>
        <item h="1" x="7"/>
        <item h="1" x="8"/>
        <item h="1" x="9"/>
        <item h="1" x="10"/>
        <item h="1" x="11"/>
        <item h="1" x="12"/>
        <item h="1" x="13"/>
      </items>
    </pivotField>
    <pivotField dragToRow="0" dragToCol="0" dragToPage="0" showAll="0" defaultSubtotal="0"/>
    <pivotField dragToRow="0" dragToCol="0" dragToPage="0" showAll="0" defaultSubtotal="0"/>
  </pivotFields>
  <rowFields count="1">
    <field x="17"/>
  </rowFields>
  <rowItems count="9">
    <i>
      <x v="1"/>
    </i>
    <i>
      <x v="7"/>
    </i>
    <i>
      <x v="3"/>
    </i>
    <i>
      <x v="4"/>
    </i>
    <i>
      <x v="2"/>
    </i>
    <i>
      <x v="5"/>
    </i>
    <i>
      <x v="6"/>
    </i>
    <i>
      <x/>
    </i>
    <i t="grand">
      <x/>
    </i>
  </rowItems>
  <colItems count="1">
    <i/>
  </colItems>
  <dataFields count="1">
    <dataField name="Total Spend" fld="24" baseField="0" baseItem="0" numFmtId="167"/>
  </dataFields>
  <formats count="1">
    <format dxfId="46">
      <pivotArea outline="0" collapsedLevelsAreSubtotals="1" fieldPosition="0"/>
    </format>
  </formats>
  <chartFormats count="1">
    <chartFormat chart="19"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EDF1F49-B9EF-44D5-B884-F035AD7CDDEC}" name="TablaDinámica9" cacheId="821"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location ref="A155:A156" firstHeaderRow="1" firstDataRow="1" firstDataCol="0"/>
  <pivotFields count="37">
    <pivotField showAll="0"/>
    <pivotField showAll="0"/>
    <pivotField showAll="0">
      <items count="6">
        <item x="1"/>
        <item x="2"/>
        <item x="0"/>
        <item x="3"/>
        <item x="4"/>
        <item t="default"/>
      </items>
    </pivotField>
    <pivotField showAll="0">
      <items count="10">
        <item x="1"/>
        <item x="0"/>
        <item x="2"/>
        <item x="4"/>
        <item x="5"/>
        <item x="3"/>
        <item x="6"/>
        <item x="7"/>
        <item x="8"/>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8">
        <item x="3"/>
        <item x="5"/>
        <item x="0"/>
        <item x="1"/>
        <item x="4"/>
        <item x="2"/>
        <item h="1" x="6"/>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defaultSubtotal="0">
      <items count="14">
        <item h="1" x="0"/>
        <item h="1" x="1"/>
        <item h="1" x="2"/>
        <item h="1" x="3"/>
        <item h="1" x="4"/>
        <item h="1" x="5"/>
        <item x="6"/>
        <item h="1" x="7"/>
        <item h="1" x="8"/>
        <item h="1" x="9"/>
        <item h="1" x="10"/>
        <item h="1" x="11"/>
        <item h="1" x="12"/>
        <item h="1" x="13"/>
      </items>
    </pivotField>
    <pivotField dragToRow="0" dragToCol="0" dragToPage="0" showAll="0" defaultSubtotal="0"/>
    <pivotField dragToRow="0" dragToCol="0" dragToPage="0" showAll="0" defaultSubtotal="0"/>
  </pivotFields>
  <rowItems count="1">
    <i/>
  </rowItems>
  <colItems count="1">
    <i/>
  </colItems>
  <dataFields count="1">
    <dataField name="Promedio de Total_Actual_USD" fld="24" subtotal="average" baseField="0" baseItem="9" numFmtId="169"/>
  </dataFields>
  <formats count="1">
    <format dxfId="4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50EDA58-9495-4071-92AA-CB8806CD0E9F}" name="TablaDinámica3" cacheId="821"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4">
  <location ref="A27:B38" firstHeaderRow="1" firstDataRow="1" firstDataCol="1"/>
  <pivotFields count="37">
    <pivotField showAll="0"/>
    <pivotField showAll="0"/>
    <pivotField showAll="0">
      <items count="6">
        <item x="1"/>
        <item x="2"/>
        <item x="0"/>
        <item x="3"/>
        <item x="4"/>
        <item t="default"/>
      </items>
    </pivotField>
    <pivotField showAll="0">
      <items count="10">
        <item x="1"/>
        <item x="0"/>
        <item x="2"/>
        <item x="4"/>
        <item x="5"/>
        <item x="3"/>
        <item x="6"/>
        <item x="7"/>
        <item x="8"/>
        <item t="default"/>
      </items>
    </pivotField>
    <pivotField showAll="0"/>
    <pivotField axis="axisRow" showAll="0" measureFilter="1" sortType="descending">
      <items count="20">
        <item x="16"/>
        <item x="12"/>
        <item x="11"/>
        <item x="6"/>
        <item x="3"/>
        <item x="17"/>
        <item x="8"/>
        <item x="1"/>
        <item x="2"/>
        <item x="14"/>
        <item x="4"/>
        <item x="5"/>
        <item x="7"/>
        <item x="0"/>
        <item x="10"/>
        <item x="13"/>
        <item x="15"/>
        <item x="9"/>
        <item x="18"/>
        <item t="default"/>
      </items>
      <autoSortScope>
        <pivotArea dataOnly="0" outline="0" fieldPosition="0">
          <references count="1">
            <reference field="4294967294" count="1" selected="0">
              <x v="0"/>
            </reference>
          </references>
        </pivotArea>
      </autoSortScope>
    </pivotField>
    <pivotField showAll="0">
      <items count="4">
        <item x="0"/>
        <item x="1"/>
        <item x="2"/>
        <item t="default"/>
      </items>
    </pivotField>
    <pivotField showAll="0"/>
    <pivotField showAll="0"/>
    <pivotField showAll="0"/>
    <pivotField showAll="0"/>
    <pivotField showAll="0"/>
    <pivotField showAll="0"/>
    <pivotField showAll="0">
      <items count="8">
        <item x="3"/>
        <item x="5"/>
        <item x="0"/>
        <item x="1"/>
        <item x="4"/>
        <item x="2"/>
        <item h="1" x="6"/>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defaultSubtotal="0">
      <items count="14">
        <item h="1" x="0"/>
        <item h="1" x="1"/>
        <item h="1" x="2"/>
        <item h="1" x="3"/>
        <item h="1" x="4"/>
        <item h="1" x="5"/>
        <item x="6"/>
        <item h="1" x="7"/>
        <item h="1" x="8"/>
        <item h="1" x="9"/>
        <item h="1" x="10"/>
        <item h="1" x="11"/>
        <item h="1" x="12"/>
        <item h="1" x="13"/>
      </items>
    </pivotField>
    <pivotField dragToRow="0" dragToCol="0" dragToPage="0" showAll="0" defaultSubtotal="0"/>
    <pivotField dragToRow="0" dragToCol="0" dragToPage="0" showAll="0" defaultSubtotal="0"/>
  </pivotFields>
  <rowFields count="1">
    <field x="5"/>
  </rowFields>
  <rowItems count="11">
    <i>
      <x v="14"/>
    </i>
    <i>
      <x v="7"/>
    </i>
    <i>
      <x v="9"/>
    </i>
    <i>
      <x v="6"/>
    </i>
    <i>
      <x v="10"/>
    </i>
    <i>
      <x v="12"/>
    </i>
    <i>
      <x v="13"/>
    </i>
    <i>
      <x v="16"/>
    </i>
    <i>
      <x v="17"/>
    </i>
    <i>
      <x v="2"/>
    </i>
    <i t="grand">
      <x/>
    </i>
  </rowItems>
  <colItems count="1">
    <i/>
  </colItems>
  <dataFields count="1">
    <dataField name="Top 10 Destinations by Spend." fld="24" baseField="5" baseItem="0" numFmtId="167"/>
  </dataFields>
  <formats count="1">
    <format dxfId="48">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DAACD29-8002-434A-8147-98F38D911B52}" name="TablaDinámica8" cacheId="821"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location ref="A152:A153" firstHeaderRow="1" firstDataRow="1" firstDataCol="0"/>
  <pivotFields count="37">
    <pivotField showAll="0"/>
    <pivotField showAll="0"/>
    <pivotField showAll="0">
      <items count="6">
        <item x="1"/>
        <item x="2"/>
        <item x="0"/>
        <item x="3"/>
        <item x="4"/>
        <item t="default"/>
      </items>
    </pivotField>
    <pivotField showAll="0">
      <items count="10">
        <item x="1"/>
        <item x="0"/>
        <item x="2"/>
        <item x="4"/>
        <item x="5"/>
        <item x="3"/>
        <item x="6"/>
        <item x="7"/>
        <item x="8"/>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8">
        <item x="3"/>
        <item x="5"/>
        <item x="0"/>
        <item x="1"/>
        <item x="4"/>
        <item x="2"/>
        <item h="1" x="6"/>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defaultSubtotal="0">
      <items count="14">
        <item h="1" x="0"/>
        <item h="1" x="1"/>
        <item h="1" x="2"/>
        <item h="1" x="3"/>
        <item h="1" x="4"/>
        <item h="1" x="5"/>
        <item x="6"/>
        <item h="1" x="7"/>
        <item h="1" x="8"/>
        <item h="1" x="9"/>
        <item h="1" x="10"/>
        <item h="1" x="11"/>
        <item h="1" x="12"/>
        <item h="1" x="13"/>
      </items>
    </pivotField>
    <pivotField dragToRow="0" dragToCol="0" dragToPage="0" showAll="0" defaultSubtotal="0"/>
    <pivotField dragToRow="0" dragToCol="0" dragToPage="0" showAll="0" defaultSubtotal="0"/>
  </pivotFields>
  <rowItems count="1">
    <i/>
  </rowItems>
  <colItems count="1">
    <i/>
  </colItems>
  <dataFields count="1">
    <dataField name="Suma de Total_Actual_USD" fld="24" baseField="0" baseItem="0" numFmtId="169"/>
  </dataFields>
  <formats count="1">
    <format dxfId="4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0A5DE26-D092-4FA2-8E3B-0AABF47E9701}" name="TablaDinámica13" cacheId="821"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4">
  <location ref="A173:B175" firstHeaderRow="1" firstDataRow="1" firstDataCol="1"/>
  <pivotFields count="37">
    <pivotField showAll="0"/>
    <pivotField showAll="0"/>
    <pivotField showAll="0">
      <items count="6">
        <item x="1"/>
        <item x="2"/>
        <item x="0"/>
        <item x="3"/>
        <item x="4"/>
        <item t="default"/>
      </items>
    </pivotField>
    <pivotField showAll="0">
      <items count="10">
        <item x="1"/>
        <item x="0"/>
        <item x="2"/>
        <item x="4"/>
        <item x="5"/>
        <item x="3"/>
        <item x="6"/>
        <item x="7"/>
        <item x="8"/>
        <item t="default"/>
      </items>
    </pivotField>
    <pivotField showAll="0"/>
    <pivotField showAll="0"/>
    <pivotField showAll="0">
      <items count="4">
        <item x="0"/>
        <item x="1"/>
        <item x="2"/>
        <item t="default"/>
      </items>
    </pivotField>
    <pivotField showAll="0"/>
    <pivotField showAll="0"/>
    <pivotField showAll="0"/>
    <pivotField showAll="0"/>
    <pivotField showAll="0"/>
    <pivotField axis="axisRow"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8">
        <item x="3"/>
        <item x="5"/>
        <item x="0"/>
        <item x="1"/>
        <item x="4"/>
        <item x="2"/>
        <item h="1" x="6"/>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axis="axisRow" showAll="0" defaultSubtotal="0">
      <items count="14">
        <item h="1" sd="0" x="0"/>
        <item h="1" sd="0" x="1"/>
        <item h="1" sd="0" x="2"/>
        <item h="1" sd="0" x="3"/>
        <item h="1" sd="0" x="4"/>
        <item h="1" sd="0" x="5"/>
        <item sd="0" x="6"/>
        <item h="1" sd="0" x="7"/>
        <item h="1" sd="0" x="8"/>
        <item h="1" sd="0" x="9"/>
        <item h="1" sd="0" x="10"/>
        <item h="1" sd="0" x="11"/>
        <item h="1" sd="0" x="12"/>
        <item h="1" sd="0" x="13"/>
      </items>
    </pivotField>
    <pivotField dragToRow="0" dragToCol="0" dragToPage="0" showAll="0" defaultSubtotal="0"/>
    <pivotField dragToRow="0" dragToCol="0" dragToPage="0" showAll="0" defaultSubtotal="0"/>
  </pivotFields>
  <rowFields count="2">
    <field x="34"/>
    <field x="12"/>
  </rowFields>
  <rowItems count="2">
    <i>
      <x v="6"/>
    </i>
    <i t="grand">
      <x/>
    </i>
  </rowItems>
  <colItems count="1">
    <i/>
  </colItems>
  <dataFields count="1">
    <dataField name="Suma de Total_Actual_USD" fld="24" baseField="32" baseItem="1"/>
  </dataFields>
  <formats count="7">
    <format dxfId="56">
      <pivotArea collapsedLevelsAreSubtotals="1" fieldPosition="0">
        <references count="1">
          <reference field="34" count="1">
            <x v="1"/>
          </reference>
        </references>
      </pivotArea>
    </format>
    <format dxfId="55">
      <pivotArea collapsedLevelsAreSubtotals="1" fieldPosition="0">
        <references count="1">
          <reference field="34" count="1">
            <x v="2"/>
          </reference>
        </references>
      </pivotArea>
    </format>
    <format dxfId="54">
      <pivotArea collapsedLevelsAreSubtotals="1" fieldPosition="0">
        <references count="1">
          <reference field="34" count="1">
            <x v="3"/>
          </reference>
        </references>
      </pivotArea>
    </format>
    <format dxfId="53">
      <pivotArea collapsedLevelsAreSubtotals="1" fieldPosition="0">
        <references count="1">
          <reference field="34" count="1">
            <x v="4"/>
          </reference>
        </references>
      </pivotArea>
    </format>
    <format dxfId="52">
      <pivotArea collapsedLevelsAreSubtotals="1" fieldPosition="0">
        <references count="1">
          <reference field="34" count="1">
            <x v="5"/>
          </reference>
        </references>
      </pivotArea>
    </format>
    <format dxfId="51">
      <pivotArea collapsedLevelsAreSubtotals="1" fieldPosition="0">
        <references count="1">
          <reference field="34" count="1">
            <x v="6"/>
          </reference>
        </references>
      </pivotArea>
    </format>
    <format dxfId="50">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05E1DF8-3AE3-4C89-B9C8-F4178473666B}" name="TablaDinámica12" cacheId="821"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location ref="A167:B170" firstHeaderRow="1" firstDataRow="1" firstDataCol="1"/>
  <pivotFields count="37">
    <pivotField dataField="1" showAll="0"/>
    <pivotField showAll="0"/>
    <pivotField showAll="0">
      <items count="6">
        <item x="1"/>
        <item x="2"/>
        <item x="0"/>
        <item x="3"/>
        <item x="4"/>
        <item t="default"/>
      </items>
    </pivotField>
    <pivotField showAll="0">
      <items count="10">
        <item x="1"/>
        <item x="0"/>
        <item x="2"/>
        <item x="4"/>
        <item x="5"/>
        <item x="3"/>
        <item x="6"/>
        <item x="7"/>
        <item x="8"/>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8">
        <item x="3"/>
        <item x="5"/>
        <item x="0"/>
        <item x="1"/>
        <item x="4"/>
        <item x="2"/>
        <item h="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h="1" x="2"/>
        <item t="default"/>
      </items>
    </pivotField>
    <pivotField showAll="0"/>
    <pivotField showAll="0"/>
    <pivotField showAll="0" defaultSubtotal="0">
      <items count="14">
        <item h="1" x="0"/>
        <item h="1" x="1"/>
        <item h="1" x="2"/>
        <item h="1" x="3"/>
        <item h="1" x="4"/>
        <item h="1" x="5"/>
        <item x="6"/>
        <item h="1" x="7"/>
        <item h="1" x="8"/>
        <item h="1" x="9"/>
        <item h="1" x="10"/>
        <item h="1" x="11"/>
        <item h="1" x="12"/>
        <item h="1" x="13"/>
      </items>
    </pivotField>
    <pivotField dragToRow="0" dragToCol="0" dragToPage="0" showAll="0" defaultSubtotal="0"/>
    <pivotField dragToRow="0" dragToCol="0" dragToPage="0" showAll="0" defaultSubtotal="0"/>
  </pivotFields>
  <rowFields count="1">
    <field x="31"/>
  </rowFields>
  <rowItems count="3">
    <i>
      <x/>
    </i>
    <i>
      <x v="1"/>
    </i>
    <i t="grand">
      <x/>
    </i>
  </rowItems>
  <colItems count="1">
    <i/>
  </colItems>
  <dataFields count="1">
    <dataField name="Cuenta de Trip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D61ED2A-D8F8-47F7-B95F-96BC33AF769F}" name="TablaDinámica2" cacheId="821"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4">
  <location ref="A14:B23" firstHeaderRow="1" firstDataRow="1" firstDataCol="1"/>
  <pivotFields count="37">
    <pivotField showAll="0"/>
    <pivotField showAll="0"/>
    <pivotField showAll="0">
      <items count="6">
        <item x="1"/>
        <item x="2"/>
        <item x="0"/>
        <item x="3"/>
        <item x="4"/>
        <item t="default"/>
      </items>
    </pivotField>
    <pivotField axis="axisRow" showAll="0" sortType="descending">
      <items count="10">
        <item x="1"/>
        <item x="0"/>
        <item x="2"/>
        <item x="4"/>
        <item x="5"/>
        <item x="3"/>
        <item x="6"/>
        <item x="7"/>
        <item x="8"/>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8">
        <item x="3"/>
        <item x="5"/>
        <item x="0"/>
        <item x="1"/>
        <item x="4"/>
        <item x="2"/>
        <item h="1" x="6"/>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defaultSubtotal="0">
      <items count="14">
        <item h="1" x="0"/>
        <item h="1" x="1"/>
        <item h="1" x="2"/>
        <item h="1" x="3"/>
        <item h="1" x="4"/>
        <item h="1" x="5"/>
        <item x="6"/>
        <item h="1" x="7"/>
        <item h="1" x="8"/>
        <item h="1" x="9"/>
        <item h="1" x="10"/>
        <item h="1" x="11"/>
        <item h="1" x="12"/>
        <item h="1" x="13"/>
      </items>
    </pivotField>
    <pivotField dragToRow="0" dragToCol="0" dragToPage="0" showAll="0" defaultSubtotal="0"/>
    <pivotField dragToRow="0" dragToCol="0" dragToPage="0" showAll="0" defaultSubtotal="0"/>
  </pivotFields>
  <rowFields count="1">
    <field x="3"/>
  </rowFields>
  <rowItems count="9">
    <i>
      <x v="1"/>
    </i>
    <i>
      <x/>
    </i>
    <i>
      <x v="5"/>
    </i>
    <i>
      <x v="2"/>
    </i>
    <i>
      <x v="4"/>
    </i>
    <i>
      <x v="3"/>
    </i>
    <i>
      <x v="6"/>
    </i>
    <i>
      <x v="7"/>
    </i>
    <i t="grand">
      <x/>
    </i>
  </rowItems>
  <colItems count="1">
    <i/>
  </colItems>
  <dataFields count="1">
    <dataField name="Total Spend by Department." fld="24" baseField="0" baseItem="0" numFmtId="167"/>
  </dataFields>
  <formats count="1">
    <format dxfId="57">
      <pivotArea outline="0" collapsedLevelsAreSubtotals="1" fieldPosition="0"/>
    </format>
  </formats>
  <chartFormats count="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B5D955D-A7B6-4AD6-A2F5-2227EE16561F}" name="TablaDinámica7" cacheId="821"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rowHeaderCaption="Policy Exception Reason">
  <location ref="D3:F7" firstHeaderRow="0" firstDataRow="1" firstDataCol="1"/>
  <pivotFields count="37">
    <pivotField showAll="0"/>
    <pivotField showAll="0"/>
    <pivotField showAll="0">
      <items count="6">
        <item x="1"/>
        <item x="2"/>
        <item x="0"/>
        <item x="3"/>
        <item x="4"/>
        <item t="default"/>
      </items>
    </pivotField>
    <pivotField showAll="0">
      <items count="10">
        <item x="1"/>
        <item x="0"/>
        <item x="2"/>
        <item x="4"/>
        <item x="5"/>
        <item x="3"/>
        <item x="6"/>
        <item x="7"/>
        <item x="8"/>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8">
        <item x="3"/>
        <item x="5"/>
        <item x="0"/>
        <item x="1"/>
        <item x="4"/>
        <item x="2"/>
        <item h="1" x="6"/>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axis="axisRow" dataField="1" showAll="0" sortType="descending">
      <items count="5">
        <item x="3"/>
        <item x="1"/>
        <item x="2"/>
        <item h="1" x="0"/>
        <item t="default"/>
      </items>
      <autoSortScope>
        <pivotArea dataOnly="0" outline="0" fieldPosition="0">
          <references count="1">
            <reference field="4294967294" count="1" selected="0">
              <x v="1"/>
            </reference>
          </references>
        </pivotArea>
      </autoSortScope>
    </pivotField>
    <pivotField showAll="0" defaultSubtotal="0">
      <items count="14">
        <item h="1" x="0"/>
        <item h="1" x="1"/>
        <item h="1" x="2"/>
        <item h="1" x="3"/>
        <item h="1" x="4"/>
        <item h="1" x="5"/>
        <item x="6"/>
        <item h="1" x="7"/>
        <item h="1" x="8"/>
        <item h="1" x="9"/>
        <item h="1" x="10"/>
        <item h="1" x="11"/>
        <item h="1" x="12"/>
        <item h="1" x="13"/>
      </items>
    </pivotField>
    <pivotField dragToRow="0" dragToCol="0" dragToPage="0" showAll="0" defaultSubtotal="0"/>
    <pivotField dragToRow="0" dragToCol="0" dragToPage="0" showAll="0" defaultSubtotal="0"/>
  </pivotFields>
  <rowFields count="1">
    <field x="33"/>
  </rowFields>
  <rowItems count="4">
    <i>
      <x v="1"/>
    </i>
    <i>
      <x v="2"/>
    </i>
    <i>
      <x/>
    </i>
    <i t="grand">
      <x/>
    </i>
  </rowItems>
  <colFields count="1">
    <field x="-2"/>
  </colFields>
  <colItems count="2">
    <i>
      <x/>
    </i>
    <i i="1">
      <x v="1"/>
    </i>
  </colItems>
  <dataFields count="2">
    <dataField name="Exception related Spend" fld="24" baseField="0" baseItem="0" numFmtId="44"/>
    <dataField name="Number of Exceptions" fld="33" subtotal="count" baseField="0" baseItem="0" numFmtId="1"/>
  </dataFields>
  <formats count="2">
    <format dxfId="59">
      <pivotArea outline="0" collapsedLevelsAreSubtotals="1" fieldPosition="0"/>
    </format>
    <format dxfId="58">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Department" xr10:uid="{B78EC7CE-43FC-41DA-8E59-094697045052}" sourceName="Department">
  <pivotTables>
    <pivotTable tabId="5" name="TablaDinámica1"/>
    <pivotTable tabId="5" name="TablaDinámica10"/>
    <pivotTable tabId="5" name="TablaDinámica11"/>
    <pivotTable tabId="5" name="TablaDinámica12"/>
    <pivotTable tabId="5" name="TablaDinámica13"/>
    <pivotTable tabId="5" name="TablaDinámica2"/>
    <pivotTable tabId="5" name="TablaDinámica3"/>
    <pivotTable tabId="5" name="TablaDinámica4"/>
    <pivotTable tabId="5" name="TablaDinámica5"/>
    <pivotTable tabId="5" name="TablaDinámica6"/>
    <pivotTable tabId="5" name="TablaDinámica7"/>
    <pivotTable tabId="5" name="TablaDinámica8"/>
    <pivotTable tabId="5" name="TablaDinámica9"/>
  </pivotTables>
  <data>
    <tabular pivotCacheId="2079116131">
      <items count="9">
        <i x="1" s="1"/>
        <i x="0" s="1"/>
        <i x="2" s="1"/>
        <i x="4" s="1"/>
        <i x="5" s="1"/>
        <i x="3" s="1"/>
        <i x="6" s="1"/>
        <i x="7" s="1"/>
        <i x="8"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rip_Type" xr10:uid="{18CA1E4B-C1FF-4D77-B089-CE0B92DEDD3A}" sourceName="Trip_Type">
  <pivotTables>
    <pivotTable tabId="5" name="TablaDinámica7"/>
    <pivotTable tabId="5" name="TablaDinámica1"/>
    <pivotTable tabId="5" name="TablaDinámica10"/>
    <pivotTable tabId="5" name="TablaDinámica11"/>
    <pivotTable tabId="5" name="TablaDinámica12"/>
    <pivotTable tabId="5" name="TablaDinámica13"/>
    <pivotTable tabId="5" name="TablaDinámica2"/>
    <pivotTable tabId="5" name="TablaDinámica3"/>
    <pivotTable tabId="5" name="TablaDinámica4"/>
    <pivotTable tabId="5" name="TablaDinámica5"/>
    <pivotTable tabId="5" name="TablaDinámica6"/>
    <pivotTable tabId="5" name="TablaDinámica8"/>
    <pivotTable tabId="5" name="TablaDinámica9"/>
  </pivotTables>
  <data>
    <tabular pivotCacheId="2079116131">
      <items count="3">
        <i x="0" s="1"/>
        <i x="1" s="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ole_Level" xr10:uid="{F2CFED7A-105A-4EDC-A404-B0B0058B028E}" sourceName="Role_Level">
  <pivotTables>
    <pivotTable tabId="5" name="TablaDinámica2"/>
    <pivotTable tabId="5" name="TablaDinámica1"/>
    <pivotTable tabId="5" name="TablaDinámica10"/>
    <pivotTable tabId="5" name="TablaDinámica11"/>
    <pivotTable tabId="5" name="TablaDinámica12"/>
    <pivotTable tabId="5" name="TablaDinámica13"/>
    <pivotTable tabId="5" name="TablaDinámica3"/>
    <pivotTable tabId="5" name="TablaDinámica4"/>
    <pivotTable tabId="5" name="TablaDinámica5"/>
    <pivotTable tabId="5" name="TablaDinámica6"/>
    <pivotTable tabId="5" name="TablaDinámica7"/>
    <pivotTable tabId="5" name="TablaDinámica8"/>
    <pivotTable tabId="5" name="TablaDinámica9"/>
  </pivotTables>
  <data>
    <tabular pivotCacheId="2079116131">
      <items count="5">
        <i x="1" s="1"/>
        <i x="2" s="1"/>
        <i x="0" s="1"/>
        <i x="3" s="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ravel_Month" xr10:uid="{B254D06E-528A-40BD-A94E-B78185B4B25F}" sourceName="Travel_Month">
  <pivotTables>
    <pivotTable tabId="5" name="TablaDinámica1"/>
    <pivotTable tabId="5" name="TablaDinámica10"/>
    <pivotTable tabId="5" name="TablaDinámica11"/>
    <pivotTable tabId="5" name="TablaDinámica12"/>
    <pivotTable tabId="5" name="TablaDinámica13"/>
    <pivotTable tabId="5" name="TablaDinámica2"/>
    <pivotTable tabId="5" name="TablaDinámica3"/>
    <pivotTable tabId="5" name="TablaDinámica4"/>
    <pivotTable tabId="5" name="TablaDinámica5"/>
    <pivotTable tabId="5" name="TablaDinámica6"/>
    <pivotTable tabId="5" name="TablaDinámica7"/>
    <pivotTable tabId="5" name="TablaDinámica8"/>
    <pivotTable tabId="5" name="TablaDinámica9"/>
  </pivotTables>
  <data>
    <tabular pivotCacheId="2079116131">
      <items count="7">
        <i x="3" s="1"/>
        <i x="5" s="1"/>
        <i x="0" s="1"/>
        <i x="1" s="1"/>
        <i x="4" s="1"/>
        <i x="2" s="1"/>
        <i x="6"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DAB3EDE5-B440-410B-867E-BAACF1B5792C}" cache="SegmentaciónDeDatos_Department" caption="Department" style="SlicerStyleDark1" rowHeight="241300"/>
  <slicer name="Trip_Type" xr10:uid="{118299CC-D51B-4E2F-BA0B-A493C757313B}" cache="SegmentaciónDeDatos_Trip_Type" caption="Trip_Type" style="SlicerStyleDark1" rowHeight="241300"/>
  <slicer name="Role_Level" xr10:uid="{1A854412-4D7E-40F9-822F-CD5C31676EB7}" cache="SegmentaciónDeDatos_Role_Level" caption="Role_Level" style="SlicerStyleDark1" rowHeight="241300"/>
  <slicer name="Travel_Month" xr10:uid="{C2105158-A360-4D87-8B09-B053E53705F8}" cache="SegmentaciónDeDatos_Travel_Month" caption="Travel_Month"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ravelExpenseTable" displayName="TravelExpenseTable" ref="A1:AH161" totalsRowShown="0" dataDxfId="8">
  <autoFilter ref="A1:AH161" xr:uid="{00000000-000C-0000-FFFF-FFFF00000000}"/>
  <tableColumns count="34">
    <tableColumn id="1" xr3:uid="{00000000-0010-0000-0000-000001000000}" name="Trip_ID" dataDxfId="42"/>
    <tableColumn id="2" xr3:uid="{00000000-0010-0000-0000-000002000000}" name="Traveler_Name" dataDxfId="41"/>
    <tableColumn id="3" xr3:uid="{00000000-0010-0000-0000-000003000000}" name="Role_Level" dataDxfId="40"/>
    <tableColumn id="4" xr3:uid="{00000000-0010-0000-0000-000004000000}" name="Department" dataDxfId="39"/>
    <tableColumn id="5" xr3:uid="{00000000-0010-0000-0000-000005000000}" name="Origin_City" dataDxfId="38"/>
    <tableColumn id="6" xr3:uid="{00000000-0010-0000-0000-000006000000}" name="Destination" dataDxfId="37"/>
    <tableColumn id="7" xr3:uid="{00000000-0010-0000-0000-000007000000}" name="Trip_Type" dataDxfId="36"/>
    <tableColumn id="8" xr3:uid="{00000000-0010-0000-0000-000008000000}" name="Travel_Purpose" dataDxfId="35"/>
    <tableColumn id="9" xr3:uid="{00000000-0010-0000-0000-000009000000}" name="Booking_Channel" dataDxfId="34"/>
    <tableColumn id="10" xr3:uid="{00000000-0010-0000-0000-00000A000000}" name="Booking_Date" dataDxfId="33"/>
    <tableColumn id="11" xr3:uid="{00000000-0010-0000-0000-00000B000000}" name="Departure_Date" dataDxfId="32"/>
    <tableColumn id="12" xr3:uid="{00000000-0010-0000-0000-00000C000000}" name="Return_Date" dataDxfId="31"/>
    <tableColumn id="34" xr3:uid="{8A33D6C3-8E12-4ADF-8C9F-FC00AD333D8A}" name="Travel_Month2" dataDxfId="30">
      <calculatedColumnFormula>DATE(YEAR(K2),MONTH(K2),1)</calculatedColumnFormula>
    </tableColumn>
    <tableColumn id="27" xr3:uid="{0A3AE328-FD87-4AFC-9FB0-A40B80CA29F3}" name="Travel_Month" dataDxfId="29">
      <calculatedColumnFormula>TEXT(K2,"mmm")</calculatedColumnFormula>
    </tableColumn>
    <tableColumn id="33" xr3:uid="{FD2A6F2A-58D4-49D8-8717-9B0754F9F437}" name="Month_Number" dataDxfId="28">
      <calculatedColumnFormula>MONTH(K2)</calculatedColumnFormula>
    </tableColumn>
    <tableColumn id="28" xr3:uid="{0E130830-32CA-47FE-9DFD-19779527781E}" name="Booking_lead_Days" dataDxfId="27">
      <calculatedColumnFormula>TravelExpenseTable[[#This Row],[Departure_Date]]-TravelExpenseTable[[#This Row],[Booking_Date]]</calculatedColumnFormula>
    </tableColumn>
    <tableColumn id="26" xr3:uid="{0E85D750-893E-4CE7-B93F-6A1F836382D3}" name="Trip_Duration_Days" dataDxfId="26">
      <calculatedColumnFormula>TravelExpenseTable[[#This Row],[Return_Date]]-TravelExpenseTable[[#This Row],[Departure_Date]]</calculatedColumnFormula>
    </tableColumn>
    <tableColumn id="13" xr3:uid="{00000000-0010-0000-0000-00000D000000}" name="Airline" dataDxfId="25"/>
    <tableColumn id="14" xr3:uid="{00000000-0010-0000-0000-00000E000000}" name="Hotel" dataDxfId="24"/>
    <tableColumn id="15" xr3:uid="{00000000-0010-0000-0000-00000F000000}" name="Airfare_USD" dataDxfId="23"/>
    <tableColumn id="16" xr3:uid="{00000000-0010-0000-0000-000010000000}" name="Hotel_USD" dataDxfId="22"/>
    <tableColumn id="17" xr3:uid="{00000000-0010-0000-0000-000011000000}" name="Ground_Transport_USD" dataDxfId="21"/>
    <tableColumn id="18" xr3:uid="{00000000-0010-0000-0000-000012000000}" name="Meals_USD" dataDxfId="20"/>
    <tableColumn id="19" xr3:uid="{00000000-0010-0000-0000-000013000000}" name="Other_Expenses_USD" dataDxfId="19"/>
    <tableColumn id="29" xr3:uid="{640998DB-9913-4D37-AB0C-5AB5A25D33E5}" name="Total_Actual_USD" dataDxfId="18">
      <calculatedColumnFormula>SUM(TravelExpenseTable[[#This Row],[Airfare_USD]],,,TravelExpenseTable[[#This Row],[Hotel_USD]],TravelExpenseTable[[#This Row],[Ground_Transport_USD]],TravelExpenseTable[[#This Row],[Meals_USD]],TravelExpenseTable[[#This Row],[Other_Expenses_USD]])</calculatedColumnFormula>
    </tableColumn>
    <tableColumn id="20" xr3:uid="{00000000-0010-0000-0000-000014000000}" name="Budget_USD" dataDxfId="17"/>
    <tableColumn id="30" xr3:uid="{B36DB351-2248-430B-9632-8F26828752A9}" name="Budget_Variance_USD" dataDxfId="16">
      <calculatedColumnFormula>TravelExpenseTable[[#This Row],[Budget_USD]]-TravelExpenseTable[[#This Row],[Total_Actual_USD]]</calculatedColumnFormula>
    </tableColumn>
    <tableColumn id="31" xr3:uid="{4B1A9751-C6E6-4437-8181-08167A9CC0CB}" name="Budget_Variance_%" dataDxfId="15" dataCellStyle="Porcentaje">
      <calculatedColumnFormula>TravelExpenseTable[[#This Row],[Budget_Variance_USD]]/TravelExpenseTable[[#This Row],[Budget_USD]]</calculatedColumnFormula>
    </tableColumn>
    <tableColumn id="32" xr3:uid="{F990742E-B8D5-48AA-BB5F-C7D69FD64561}" name="Budget Status" dataDxfId="14">
      <calculatedColumnFormula>IF(AA2&gt;=0,"Within Budget","Over Budget")</calculatedColumnFormula>
    </tableColumn>
    <tableColumn id="21" xr3:uid="{00000000-0010-0000-0000-000015000000}" name="Approval_Status" dataDxfId="13"/>
    <tableColumn id="22" xr3:uid="{00000000-0010-0000-0000-000016000000}" name="Expense_Report_Status" dataDxfId="12"/>
    <tableColumn id="23" xr3:uid="{00000000-0010-0000-0000-000017000000}" name="Preferred_Vendor_Used" dataDxfId="11"/>
    <tableColumn id="24" xr3:uid="{00000000-0010-0000-0000-000018000000}" name="Policy_Exception" dataDxfId="10"/>
    <tableColumn id="25" xr3:uid="{00000000-0010-0000-0000-000019000000}" name="Exception_Reason" dataDxfId="9"/>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E23C8-C409-4612-BCE1-ACD9A5BE2C04}">
  <sheetPr codeName="Hoja7"/>
  <dimension ref="B2:X37"/>
  <sheetViews>
    <sheetView showGridLines="0" tabSelected="1" workbookViewId="0">
      <selection activeCell="P44" sqref="P44"/>
    </sheetView>
  </sheetViews>
  <sheetFormatPr baseColWidth="10" defaultRowHeight="14.25"/>
  <cols>
    <col min="1" max="1" width="4.625" customWidth="1"/>
    <col min="5" max="5" width="5.75" customWidth="1"/>
    <col min="8" max="8" width="16.875" customWidth="1"/>
    <col min="9" max="9" width="5.75" customWidth="1"/>
    <col min="13" max="13" width="5.25" customWidth="1"/>
    <col min="17" max="17" width="5.25" customWidth="1"/>
    <col min="20" max="20" width="11.75" customWidth="1"/>
    <col min="21" max="21" width="4.625" customWidth="1"/>
  </cols>
  <sheetData>
    <row r="2" spans="2:24" ht="14.25" customHeight="1">
      <c r="B2" s="65" t="s">
        <v>434</v>
      </c>
      <c r="C2" s="65"/>
      <c r="D2" s="65"/>
      <c r="E2" s="65"/>
      <c r="F2" s="65"/>
      <c r="G2" s="65"/>
      <c r="H2" s="65"/>
      <c r="I2" s="65"/>
      <c r="J2" s="65"/>
      <c r="K2" s="65"/>
      <c r="L2" s="65"/>
      <c r="M2" s="65"/>
      <c r="N2" s="65"/>
      <c r="O2" s="65"/>
      <c r="P2" s="65"/>
      <c r="Q2" s="65"/>
      <c r="R2" s="65"/>
      <c r="S2" s="65"/>
      <c r="T2" s="65"/>
      <c r="U2" s="65"/>
      <c r="V2" s="65"/>
      <c r="W2" s="65"/>
      <c r="X2" s="65"/>
    </row>
    <row r="3" spans="2:24" ht="14.25" customHeight="1">
      <c r="B3" s="65"/>
      <c r="C3" s="65"/>
      <c r="D3" s="65"/>
      <c r="E3" s="65"/>
      <c r="F3" s="65"/>
      <c r="G3" s="65"/>
      <c r="H3" s="65"/>
      <c r="I3" s="65"/>
      <c r="J3" s="65"/>
      <c r="K3" s="65"/>
      <c r="L3" s="65"/>
      <c r="M3" s="65"/>
      <c r="N3" s="65"/>
      <c r="O3" s="65"/>
      <c r="P3" s="65"/>
      <c r="Q3" s="65"/>
      <c r="R3" s="65"/>
      <c r="S3" s="65"/>
      <c r="T3" s="65"/>
      <c r="U3" s="65"/>
      <c r="V3" s="65"/>
      <c r="W3" s="65"/>
      <c r="X3" s="65"/>
    </row>
    <row r="4" spans="2:24">
      <c r="B4" s="62" t="s">
        <v>448</v>
      </c>
      <c r="C4" s="62"/>
      <c r="D4" s="62"/>
      <c r="E4" s="62"/>
      <c r="F4" s="62"/>
      <c r="G4" s="62"/>
      <c r="H4" s="62"/>
      <c r="I4" s="62"/>
      <c r="J4" s="62"/>
      <c r="K4" s="62"/>
      <c r="L4" s="62"/>
      <c r="M4" s="62"/>
      <c r="N4" s="62"/>
      <c r="O4" s="62"/>
      <c r="P4" s="62"/>
      <c r="Q4" s="62"/>
      <c r="R4" s="62"/>
      <c r="S4" s="62"/>
      <c r="T4" s="62"/>
      <c r="U4" s="62"/>
      <c r="V4" s="62"/>
      <c r="W4" s="62"/>
      <c r="X4" s="62"/>
    </row>
    <row r="8" spans="2:24" s="69" customFormat="1" ht="18">
      <c r="B8" s="66" t="s">
        <v>449</v>
      </c>
      <c r="C8" s="67"/>
      <c r="D8" s="68"/>
      <c r="F8" s="66" t="s">
        <v>450</v>
      </c>
      <c r="G8" s="67"/>
      <c r="H8" s="68"/>
      <c r="J8" s="66" t="s">
        <v>451</v>
      </c>
      <c r="K8" s="67"/>
      <c r="L8" s="68"/>
      <c r="N8" s="66" t="s">
        <v>452</v>
      </c>
      <c r="O8" s="67"/>
      <c r="P8" s="68"/>
      <c r="R8" s="66" t="s">
        <v>453</v>
      </c>
      <c r="S8" s="67"/>
      <c r="T8" s="68"/>
      <c r="V8" s="66" t="s">
        <v>454</v>
      </c>
      <c r="W8" s="67"/>
      <c r="X8" s="68"/>
    </row>
    <row r="10" spans="2:24" ht="14.25" customHeight="1">
      <c r="B10" s="74" t="s">
        <v>491</v>
      </c>
      <c r="C10" s="74"/>
      <c r="D10" s="74"/>
      <c r="J10" s="63" t="s">
        <v>484</v>
      </c>
      <c r="K10" s="63"/>
      <c r="L10" s="63"/>
      <c r="N10" s="63" t="s">
        <v>462</v>
      </c>
      <c r="O10" s="63"/>
      <c r="P10" s="63"/>
      <c r="Q10" s="64"/>
      <c r="R10" s="63" t="s">
        <v>455</v>
      </c>
      <c r="S10" s="63"/>
      <c r="T10" s="63"/>
      <c r="V10" t="s">
        <v>507</v>
      </c>
    </row>
    <row r="11" spans="2:24" ht="14.25" customHeight="1">
      <c r="B11" s="74"/>
      <c r="C11" s="74"/>
      <c r="D11" s="74"/>
      <c r="F11" s="70" t="s">
        <v>495</v>
      </c>
      <c r="G11" s="70"/>
      <c r="H11" s="70"/>
      <c r="J11" s="63"/>
      <c r="K11" s="63"/>
      <c r="L11" s="63"/>
      <c r="N11" s="63"/>
      <c r="O11" s="63"/>
      <c r="P11" s="63"/>
      <c r="Q11" s="64"/>
      <c r="R11" s="63"/>
      <c r="S11" s="63"/>
      <c r="T11" s="63"/>
    </row>
    <row r="12" spans="2:24">
      <c r="B12" s="74"/>
      <c r="C12" s="74"/>
      <c r="D12" s="74"/>
      <c r="F12" s="70"/>
      <c r="G12" s="70"/>
      <c r="H12" s="70"/>
      <c r="V12" t="s">
        <v>508</v>
      </c>
    </row>
    <row r="13" spans="2:24">
      <c r="B13" s="74"/>
      <c r="C13" s="74"/>
      <c r="D13" s="74"/>
      <c r="F13" s="70"/>
      <c r="G13" s="70"/>
      <c r="H13" s="70"/>
      <c r="J13" t="s">
        <v>485</v>
      </c>
      <c r="N13" t="s">
        <v>463</v>
      </c>
      <c r="R13" s="63" t="s">
        <v>456</v>
      </c>
      <c r="S13" s="63"/>
      <c r="T13" s="63"/>
    </row>
    <row r="14" spans="2:24">
      <c r="B14" s="74"/>
      <c r="C14" s="74"/>
      <c r="D14" s="74"/>
      <c r="F14" s="70"/>
      <c r="G14" s="70"/>
      <c r="H14" s="70"/>
      <c r="J14" t="s">
        <v>486</v>
      </c>
      <c r="R14" s="63"/>
      <c r="S14" s="63"/>
      <c r="T14" s="63"/>
      <c r="V14" t="s">
        <v>510</v>
      </c>
    </row>
    <row r="15" spans="2:24">
      <c r="B15" s="74"/>
      <c r="C15" s="74"/>
      <c r="D15" s="74"/>
      <c r="F15" s="26" t="s">
        <v>496</v>
      </c>
      <c r="G15" s="26"/>
      <c r="H15" s="26"/>
      <c r="J15" t="s">
        <v>487</v>
      </c>
      <c r="N15" t="s">
        <v>464</v>
      </c>
    </row>
    <row r="16" spans="2:24" ht="14.25" customHeight="1">
      <c r="B16" s="74"/>
      <c r="C16" s="74"/>
      <c r="D16" s="74"/>
      <c r="F16" s="26"/>
      <c r="G16" s="26"/>
      <c r="H16" s="26"/>
      <c r="J16" t="s">
        <v>488</v>
      </c>
      <c r="N16" s="63" t="s">
        <v>465</v>
      </c>
      <c r="O16" s="63"/>
      <c r="P16" s="63"/>
      <c r="R16" t="s">
        <v>457</v>
      </c>
      <c r="V16" t="s">
        <v>511</v>
      </c>
    </row>
    <row r="17" spans="2:22">
      <c r="B17" s="74"/>
      <c r="C17" s="74"/>
      <c r="D17" s="74"/>
      <c r="F17" t="s">
        <v>497</v>
      </c>
      <c r="G17" s="26"/>
      <c r="H17" s="26"/>
      <c r="J17" t="s">
        <v>489</v>
      </c>
      <c r="N17" s="63"/>
      <c r="O17" s="63"/>
      <c r="P17" s="63"/>
    </row>
    <row r="18" spans="2:22">
      <c r="B18" s="74"/>
      <c r="C18" s="74"/>
      <c r="D18" s="74"/>
      <c r="G18" s="26"/>
      <c r="H18" s="26"/>
      <c r="R18" s="63" t="s">
        <v>458</v>
      </c>
      <c r="S18" s="63"/>
      <c r="T18" s="63"/>
      <c r="V18" t="s">
        <v>512</v>
      </c>
    </row>
    <row r="19" spans="2:22" ht="14.25" customHeight="1">
      <c r="B19" s="74"/>
      <c r="C19" s="74"/>
      <c r="D19" s="74"/>
      <c r="F19" s="63" t="s">
        <v>498</v>
      </c>
      <c r="G19" s="63"/>
      <c r="H19" s="63"/>
      <c r="J19" t="s">
        <v>490</v>
      </c>
      <c r="N19" t="s">
        <v>466</v>
      </c>
      <c r="R19" s="63"/>
      <c r="S19" s="63"/>
      <c r="T19" s="63"/>
    </row>
    <row r="20" spans="2:22">
      <c r="F20" s="63"/>
      <c r="G20" s="63"/>
      <c r="H20" s="63"/>
      <c r="N20" t="s">
        <v>467</v>
      </c>
      <c r="V20" t="s">
        <v>513</v>
      </c>
    </row>
    <row r="21" spans="2:22" ht="14.25" customHeight="1">
      <c r="B21" s="71" t="s">
        <v>494</v>
      </c>
      <c r="C21" s="72"/>
      <c r="D21" s="72"/>
      <c r="G21" s="26"/>
      <c r="H21" s="26"/>
      <c r="J21" t="s">
        <v>475</v>
      </c>
      <c r="Q21" s="64"/>
      <c r="R21" t="s">
        <v>459</v>
      </c>
    </row>
    <row r="22" spans="2:22" ht="14.25" customHeight="1">
      <c r="F22" s="63" t="s">
        <v>499</v>
      </c>
      <c r="G22" s="63"/>
      <c r="H22" s="63"/>
      <c r="N22" t="s">
        <v>468</v>
      </c>
      <c r="Q22" s="64"/>
      <c r="V22" t="s">
        <v>514</v>
      </c>
    </row>
    <row r="23" spans="2:22" ht="15">
      <c r="B23" s="73" t="s">
        <v>492</v>
      </c>
      <c r="F23" s="63"/>
      <c r="G23" s="63"/>
      <c r="H23" s="63"/>
      <c r="J23" t="s">
        <v>476</v>
      </c>
      <c r="N23" s="63" t="s">
        <v>469</v>
      </c>
      <c r="O23" s="63"/>
      <c r="P23" s="63"/>
      <c r="R23" s="63" t="s">
        <v>460</v>
      </c>
      <c r="S23" s="63"/>
      <c r="T23" s="63"/>
    </row>
    <row r="24" spans="2:22">
      <c r="B24" s="63" t="s">
        <v>503</v>
      </c>
      <c r="C24" s="63"/>
      <c r="D24" s="63"/>
      <c r="F24" s="26"/>
      <c r="G24" s="26"/>
      <c r="H24" s="26"/>
      <c r="J24" t="s">
        <v>477</v>
      </c>
      <c r="N24" s="63"/>
      <c r="O24" s="63"/>
      <c r="P24" s="63"/>
      <c r="R24" s="63"/>
      <c r="S24" s="63"/>
      <c r="T24" s="63"/>
      <c r="V24" t="s">
        <v>515</v>
      </c>
    </row>
    <row r="25" spans="2:22" ht="14.25" customHeight="1">
      <c r="B25" s="63"/>
      <c r="C25" s="63"/>
      <c r="D25" s="63"/>
      <c r="F25" t="s">
        <v>500</v>
      </c>
      <c r="G25" s="26"/>
      <c r="H25" s="26"/>
      <c r="J25" t="s">
        <v>478</v>
      </c>
      <c r="Q25" s="64"/>
    </row>
    <row r="26" spans="2:22" ht="14.25" customHeight="1">
      <c r="F26" s="64"/>
      <c r="G26" s="64"/>
      <c r="H26" s="64"/>
      <c r="J26" t="s">
        <v>479</v>
      </c>
      <c r="N26" t="s">
        <v>470</v>
      </c>
      <c r="Q26" s="64"/>
      <c r="R26" s="63" t="s">
        <v>461</v>
      </c>
      <c r="S26" s="63"/>
      <c r="T26" s="63"/>
      <c r="U26" s="64"/>
      <c r="V26" t="s">
        <v>516</v>
      </c>
    </row>
    <row r="27" spans="2:22" ht="15">
      <c r="B27" s="73" t="s">
        <v>504</v>
      </c>
      <c r="F27" t="s">
        <v>501</v>
      </c>
      <c r="G27" s="64"/>
      <c r="H27" s="64"/>
      <c r="J27" t="s">
        <v>480</v>
      </c>
      <c r="N27" s="63" t="s">
        <v>471</v>
      </c>
      <c r="O27" s="63"/>
      <c r="P27" s="63"/>
      <c r="R27" s="63"/>
      <c r="S27" s="63"/>
      <c r="T27" s="63"/>
      <c r="U27" s="64"/>
    </row>
    <row r="28" spans="2:22" ht="14.25" customHeight="1">
      <c r="B28" s="63" t="s">
        <v>505</v>
      </c>
      <c r="C28" s="63"/>
      <c r="D28" s="63"/>
      <c r="F28" s="64"/>
      <c r="G28" s="64"/>
      <c r="H28" s="64"/>
      <c r="J28" t="s">
        <v>481</v>
      </c>
      <c r="N28" s="63"/>
      <c r="O28" s="63"/>
      <c r="P28" s="63"/>
      <c r="Q28" s="64"/>
      <c r="V28" t="s">
        <v>509</v>
      </c>
    </row>
    <row r="29" spans="2:22" ht="14.25" customHeight="1">
      <c r="B29" s="63"/>
      <c r="C29" s="63"/>
      <c r="D29" s="63"/>
      <c r="F29" s="63" t="s">
        <v>502</v>
      </c>
      <c r="G29" s="63"/>
      <c r="H29" s="63"/>
      <c r="J29" t="s">
        <v>482</v>
      </c>
      <c r="Q29" s="64"/>
    </row>
    <row r="30" spans="2:22">
      <c r="B30" s="63"/>
      <c r="C30" s="63"/>
      <c r="D30" s="63"/>
      <c r="F30" s="63"/>
      <c r="G30" s="63"/>
      <c r="H30" s="63"/>
      <c r="J30" t="s">
        <v>483</v>
      </c>
      <c r="N30" s="63" t="s">
        <v>472</v>
      </c>
      <c r="O30" s="63"/>
      <c r="P30" s="63"/>
    </row>
    <row r="31" spans="2:22" ht="14.25" customHeight="1">
      <c r="B31" s="63"/>
      <c r="C31" s="63"/>
      <c r="D31" s="63"/>
      <c r="F31" s="64"/>
      <c r="G31" s="64"/>
      <c r="H31" s="64"/>
      <c r="N31" s="63"/>
      <c r="O31" s="63"/>
      <c r="P31" s="63"/>
    </row>
    <row r="32" spans="2:22" ht="14.25" customHeight="1">
      <c r="C32" s="64"/>
      <c r="D32" s="64"/>
      <c r="F32" s="64"/>
      <c r="G32" s="64"/>
      <c r="H32" s="64"/>
    </row>
    <row r="33" spans="2:14" ht="14.25" customHeight="1">
      <c r="B33" s="73" t="s">
        <v>493</v>
      </c>
      <c r="C33" s="64"/>
      <c r="D33" s="64"/>
      <c r="F33" s="64"/>
      <c r="G33" s="64"/>
      <c r="H33" s="64"/>
      <c r="N33" t="s">
        <v>473</v>
      </c>
    </row>
    <row r="34" spans="2:14">
      <c r="B34" s="63" t="s">
        <v>506</v>
      </c>
      <c r="C34" s="63"/>
      <c r="D34" s="63"/>
      <c r="N34" t="s">
        <v>474</v>
      </c>
    </row>
    <row r="35" spans="2:14">
      <c r="B35" s="63"/>
      <c r="C35" s="63"/>
      <c r="D35" s="63"/>
    </row>
    <row r="36" spans="2:14">
      <c r="B36" s="63"/>
      <c r="C36" s="63"/>
      <c r="D36" s="63"/>
    </row>
    <row r="37" spans="2:14">
      <c r="B37" s="63"/>
      <c r="C37" s="63"/>
      <c r="D37" s="63"/>
    </row>
  </sheetData>
  <mergeCells count="28">
    <mergeCell ref="B28:D31"/>
    <mergeCell ref="B34:D37"/>
    <mergeCell ref="F11:H14"/>
    <mergeCell ref="F19:H20"/>
    <mergeCell ref="F22:H23"/>
    <mergeCell ref="F29:H30"/>
    <mergeCell ref="B21:D21"/>
    <mergeCell ref="B24:D25"/>
    <mergeCell ref="N16:P17"/>
    <mergeCell ref="R10:T11"/>
    <mergeCell ref="R13:T14"/>
    <mergeCell ref="J10:L11"/>
    <mergeCell ref="B10:D19"/>
    <mergeCell ref="N10:P11"/>
    <mergeCell ref="N30:P31"/>
    <mergeCell ref="N27:P28"/>
    <mergeCell ref="N23:P24"/>
    <mergeCell ref="R8:T8"/>
    <mergeCell ref="V8:X8"/>
    <mergeCell ref="R18:T19"/>
    <mergeCell ref="R23:T24"/>
    <mergeCell ref="R26:T27"/>
    <mergeCell ref="B8:D8"/>
    <mergeCell ref="F8:H8"/>
    <mergeCell ref="J8:L8"/>
    <mergeCell ref="N8:P8"/>
    <mergeCell ref="B2:X3"/>
    <mergeCell ref="B4:X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H161"/>
  <sheetViews>
    <sheetView topLeftCell="AA1" workbookViewId="0">
      <selection activeCell="AK10" sqref="AK10"/>
    </sheetView>
  </sheetViews>
  <sheetFormatPr baseColWidth="10" defaultColWidth="9" defaultRowHeight="14.25"/>
  <cols>
    <col min="1" max="1" width="12" customWidth="1"/>
    <col min="2" max="2" width="22" customWidth="1"/>
    <col min="3" max="3" width="12" customWidth="1"/>
    <col min="4" max="4" width="18" customWidth="1"/>
    <col min="5" max="5" width="16" customWidth="1"/>
    <col min="6" max="6" width="20" customWidth="1"/>
    <col min="7" max="7" width="14" customWidth="1"/>
    <col min="8" max="8" width="20" customWidth="1"/>
    <col min="9" max="9" width="24" customWidth="1"/>
    <col min="10" max="12" width="13" customWidth="1"/>
    <col min="13" max="14" width="13" style="15" customWidth="1"/>
    <col min="15" max="15" width="13" style="11" customWidth="1"/>
    <col min="16" max="16" width="22.375" style="11" bestFit="1" customWidth="1"/>
    <col min="17" max="17" width="22.5" style="11" bestFit="1" customWidth="1"/>
    <col min="18" max="19" width="18" customWidth="1"/>
    <col min="20" max="21" width="14" customWidth="1"/>
    <col min="22" max="22" width="18" customWidth="1"/>
    <col min="23" max="23" width="13" customWidth="1"/>
    <col min="24" max="25" width="18" customWidth="1"/>
    <col min="26" max="26" width="14" customWidth="1"/>
    <col min="27" max="27" width="25.25" bestFit="1" customWidth="1"/>
    <col min="28" max="28" width="22.75" style="14" bestFit="1" customWidth="1"/>
    <col min="29" max="29" width="22.75" customWidth="1"/>
    <col min="30" max="30" width="15" customWidth="1"/>
    <col min="31" max="32" width="20" customWidth="1"/>
    <col min="33" max="33" width="16" customWidth="1"/>
    <col min="34" max="34" width="28" customWidth="1"/>
  </cols>
  <sheetData>
    <row r="1" spans="1:34" ht="15">
      <c r="A1" s="2" t="s">
        <v>14</v>
      </c>
      <c r="B1" s="2" t="s">
        <v>15</v>
      </c>
      <c r="C1" s="2" t="s">
        <v>16</v>
      </c>
      <c r="D1" s="2" t="s">
        <v>17</v>
      </c>
      <c r="E1" s="2" t="s">
        <v>18</v>
      </c>
      <c r="F1" s="2" t="s">
        <v>19</v>
      </c>
      <c r="G1" s="2" t="s">
        <v>20</v>
      </c>
      <c r="H1" s="2" t="s">
        <v>21</v>
      </c>
      <c r="I1" s="2" t="s">
        <v>22</v>
      </c>
      <c r="J1" s="2" t="s">
        <v>23</v>
      </c>
      <c r="K1" s="2" t="s">
        <v>24</v>
      </c>
      <c r="L1" s="2" t="s">
        <v>25</v>
      </c>
      <c r="M1" s="3" t="s">
        <v>416</v>
      </c>
      <c r="N1" s="3" t="s">
        <v>444</v>
      </c>
      <c r="O1" s="9" t="s">
        <v>445</v>
      </c>
      <c r="P1" s="9" t="s">
        <v>411</v>
      </c>
      <c r="Q1" s="9" t="s">
        <v>410</v>
      </c>
      <c r="R1" s="2" t="s">
        <v>26</v>
      </c>
      <c r="S1" s="2" t="s">
        <v>27</v>
      </c>
      <c r="T1" s="2" t="s">
        <v>28</v>
      </c>
      <c r="U1" s="2" t="s">
        <v>29</v>
      </c>
      <c r="V1" s="2" t="s">
        <v>30</v>
      </c>
      <c r="W1" s="2" t="s">
        <v>31</v>
      </c>
      <c r="X1" s="2" t="s">
        <v>32</v>
      </c>
      <c r="Y1" s="3" t="s">
        <v>412</v>
      </c>
      <c r="Z1" s="2" t="s">
        <v>33</v>
      </c>
      <c r="AA1" s="3" t="s">
        <v>413</v>
      </c>
      <c r="AB1" s="12" t="s">
        <v>414</v>
      </c>
      <c r="AC1" s="3" t="s">
        <v>415</v>
      </c>
      <c r="AD1" s="2" t="s">
        <v>34</v>
      </c>
      <c r="AE1" s="2" t="s">
        <v>35</v>
      </c>
      <c r="AF1" s="2" t="s">
        <v>36</v>
      </c>
      <c r="AG1" s="2" t="s">
        <v>37</v>
      </c>
      <c r="AH1" s="2" t="s">
        <v>38</v>
      </c>
    </row>
    <row r="2" spans="1:34">
      <c r="A2" s="41" t="s">
        <v>39</v>
      </c>
      <c r="B2" s="41" t="s">
        <v>40</v>
      </c>
      <c r="C2" s="41" t="s">
        <v>41</v>
      </c>
      <c r="D2" s="41" t="s">
        <v>42</v>
      </c>
      <c r="E2" s="41" t="s">
        <v>43</v>
      </c>
      <c r="F2" s="41" t="s">
        <v>44</v>
      </c>
      <c r="G2" s="41" t="s">
        <v>45</v>
      </c>
      <c r="H2" s="41" t="s">
        <v>46</v>
      </c>
      <c r="I2" s="41" t="s">
        <v>47</v>
      </c>
      <c r="J2" s="4">
        <v>46076</v>
      </c>
      <c r="K2" s="4">
        <v>46094</v>
      </c>
      <c r="L2" s="4">
        <v>46096</v>
      </c>
      <c r="M2" s="17">
        <f t="shared" ref="M2:M65" si="0">DATE(YEAR(K2),MONTH(K2),1)</f>
        <v>46082</v>
      </c>
      <c r="N2" s="17" t="str">
        <f t="shared" ref="N2:N33" si="1">TEXT(K2,"mmm")</f>
        <v>Mar</v>
      </c>
      <c r="O2" s="10">
        <f t="shared" ref="O2:O33" si="2">MONTH(K2)</f>
        <v>3</v>
      </c>
      <c r="P2" s="10">
        <f>TravelExpenseTable[[#This Row],[Departure_Date]]-TravelExpenseTable[[#This Row],[Booking_Date]]</f>
        <v>18</v>
      </c>
      <c r="Q2" s="10">
        <f>TravelExpenseTable[[#This Row],[Return_Date]]-TravelExpenseTable[[#This Row],[Departure_Date]]</f>
        <v>2</v>
      </c>
      <c r="R2" s="41" t="s">
        <v>48</v>
      </c>
      <c r="S2" s="41" t="s">
        <v>49</v>
      </c>
      <c r="T2" s="5">
        <v>586.16999999999996</v>
      </c>
      <c r="U2" s="5">
        <v>839.02</v>
      </c>
      <c r="V2" s="5">
        <v>134.16999999999999</v>
      </c>
      <c r="W2" s="5">
        <v>120.91</v>
      </c>
      <c r="X2" s="5">
        <v>8.48</v>
      </c>
      <c r="Y2" s="6">
        <f>SUM(TravelExpenseTable[[#This Row],[Airfare_USD]],,,TravelExpenseTable[[#This Row],[Hotel_USD]],TravelExpenseTable[[#This Row],[Ground_Transport_USD]],TravelExpenseTable[[#This Row],[Meals_USD]],TravelExpenseTable[[#This Row],[Other_Expenses_USD]])</f>
        <v>1688.7500000000002</v>
      </c>
      <c r="Z2" s="5">
        <v>1541.65</v>
      </c>
      <c r="AA2" s="6">
        <f>TravelExpenseTable[[#This Row],[Budget_USD]]-TravelExpenseTable[[#This Row],[Total_Actual_USD]]</f>
        <v>-147.10000000000014</v>
      </c>
      <c r="AB2" s="13">
        <f>TravelExpenseTable[[#This Row],[Budget_Variance_USD]]/TravelExpenseTable[[#This Row],[Budget_USD]]</f>
        <v>-9.5417247754029863E-2</v>
      </c>
      <c r="AC2" s="6" t="str">
        <f t="shared" ref="AC2:AC33" si="3">IF(AA2&gt;=0,"Within Budget","Over Budget")</f>
        <v>Over Budget</v>
      </c>
      <c r="AD2" s="41" t="s">
        <v>50</v>
      </c>
      <c r="AE2" s="41" t="s">
        <v>51</v>
      </c>
      <c r="AF2" s="41" t="s">
        <v>52</v>
      </c>
      <c r="AG2" s="41" t="s">
        <v>53</v>
      </c>
      <c r="AH2" s="41"/>
    </row>
    <row r="3" spans="1:34">
      <c r="A3" s="55" t="s">
        <v>54</v>
      </c>
      <c r="B3" s="55" t="s">
        <v>55</v>
      </c>
      <c r="C3" s="55" t="s">
        <v>56</v>
      </c>
      <c r="D3" s="55" t="s">
        <v>57</v>
      </c>
      <c r="E3" s="55" t="s">
        <v>43</v>
      </c>
      <c r="F3" s="55" t="s">
        <v>58</v>
      </c>
      <c r="G3" s="55" t="s">
        <v>59</v>
      </c>
      <c r="H3" s="55" t="s">
        <v>46</v>
      </c>
      <c r="I3" s="55" t="s">
        <v>60</v>
      </c>
      <c r="J3" s="56">
        <v>46092</v>
      </c>
      <c r="K3" s="56">
        <v>46124</v>
      </c>
      <c r="L3" s="56">
        <v>46131</v>
      </c>
      <c r="M3" s="57">
        <f t="shared" si="0"/>
        <v>46113</v>
      </c>
      <c r="N3" s="57" t="str">
        <f t="shared" si="1"/>
        <v>Apr</v>
      </c>
      <c r="O3" s="58">
        <f t="shared" si="2"/>
        <v>4</v>
      </c>
      <c r="P3" s="58">
        <f>TravelExpenseTable[[#This Row],[Departure_Date]]-TravelExpenseTable[[#This Row],[Booking_Date]]</f>
        <v>32</v>
      </c>
      <c r="Q3" s="58">
        <f>TravelExpenseTable[[#This Row],[Return_Date]]-TravelExpenseTable[[#This Row],[Departure_Date]]</f>
        <v>7</v>
      </c>
      <c r="R3" s="55" t="s">
        <v>61</v>
      </c>
      <c r="S3" s="55" t="s">
        <v>62</v>
      </c>
      <c r="T3" s="59">
        <v>775.19</v>
      </c>
      <c r="U3" s="59">
        <v>2328.67</v>
      </c>
      <c r="V3" s="59">
        <v>262.14999999999998</v>
      </c>
      <c r="W3" s="59">
        <v>527.87</v>
      </c>
      <c r="X3" s="59">
        <v>52.83</v>
      </c>
      <c r="Y3" s="60">
        <f>SUM(TravelExpenseTable[[#This Row],[Airfare_USD]],,,TravelExpenseTable[[#This Row],[Hotel_USD]],TravelExpenseTable[[#This Row],[Ground_Transport_USD]],TravelExpenseTable[[#This Row],[Meals_USD]],TravelExpenseTable[[#This Row],[Other_Expenses_USD]])</f>
        <v>3946.71</v>
      </c>
      <c r="Z3" s="59">
        <v>3660.37</v>
      </c>
      <c r="AA3" s="60">
        <f>TravelExpenseTable[[#This Row],[Budget_USD]]-TravelExpenseTable[[#This Row],[Total_Actual_USD]]</f>
        <v>-286.34000000000015</v>
      </c>
      <c r="AB3" s="61">
        <f>TravelExpenseTable[[#This Row],[Budget_Variance_USD]]/TravelExpenseTable[[#This Row],[Budget_USD]]</f>
        <v>-7.8227064477088423E-2</v>
      </c>
      <c r="AC3" s="60" t="str">
        <f t="shared" si="3"/>
        <v>Over Budget</v>
      </c>
      <c r="AD3" s="55" t="s">
        <v>50</v>
      </c>
      <c r="AE3" s="55" t="s">
        <v>51</v>
      </c>
      <c r="AF3" s="55" t="s">
        <v>53</v>
      </c>
      <c r="AG3" s="55" t="s">
        <v>52</v>
      </c>
      <c r="AH3" s="55" t="s">
        <v>63</v>
      </c>
    </row>
    <row r="4" spans="1:34">
      <c r="A4" s="41" t="s">
        <v>64</v>
      </c>
      <c r="B4" s="41" t="s">
        <v>65</v>
      </c>
      <c r="C4" s="41" t="s">
        <v>66</v>
      </c>
      <c r="D4" s="41" t="s">
        <v>67</v>
      </c>
      <c r="E4" s="41" t="s">
        <v>43</v>
      </c>
      <c r="F4" s="41" t="s">
        <v>68</v>
      </c>
      <c r="G4" s="41" t="s">
        <v>45</v>
      </c>
      <c r="H4" s="41" t="s">
        <v>69</v>
      </c>
      <c r="I4" s="41" t="s">
        <v>47</v>
      </c>
      <c r="J4" s="4">
        <v>46144</v>
      </c>
      <c r="K4" s="4">
        <v>46187</v>
      </c>
      <c r="L4" s="4">
        <v>46190</v>
      </c>
      <c r="M4" s="17">
        <f t="shared" si="0"/>
        <v>46174</v>
      </c>
      <c r="N4" s="17" t="str">
        <f t="shared" si="1"/>
        <v>Jun</v>
      </c>
      <c r="O4" s="10">
        <f t="shared" si="2"/>
        <v>6</v>
      </c>
      <c r="P4" s="10">
        <f>TravelExpenseTable[[#This Row],[Departure_Date]]-TravelExpenseTable[[#This Row],[Booking_Date]]</f>
        <v>43</v>
      </c>
      <c r="Q4" s="10">
        <f>TravelExpenseTable[[#This Row],[Return_Date]]-TravelExpenseTable[[#This Row],[Departure_Date]]</f>
        <v>3</v>
      </c>
      <c r="R4" s="41" t="s">
        <v>70</v>
      </c>
      <c r="S4" s="41" t="s">
        <v>71</v>
      </c>
      <c r="T4" s="5">
        <v>667.04</v>
      </c>
      <c r="U4" s="5">
        <v>420.27</v>
      </c>
      <c r="V4" s="5">
        <v>101.73</v>
      </c>
      <c r="W4" s="5">
        <v>168.51</v>
      </c>
      <c r="X4" s="5">
        <v>167.24</v>
      </c>
      <c r="Y4" s="6">
        <f>SUM(TravelExpenseTable[[#This Row],[Airfare_USD]],,,TravelExpenseTable[[#This Row],[Hotel_USD]],TravelExpenseTable[[#This Row],[Ground_Transport_USD]],TravelExpenseTable[[#This Row],[Meals_USD]],TravelExpenseTable[[#This Row],[Other_Expenses_USD]])</f>
        <v>1524.79</v>
      </c>
      <c r="Z4" s="5">
        <v>1743.78</v>
      </c>
      <c r="AA4" s="6">
        <f>TravelExpenseTable[[#This Row],[Budget_USD]]-TravelExpenseTable[[#This Row],[Total_Actual_USD]]</f>
        <v>218.99</v>
      </c>
      <c r="AB4" s="13">
        <f>TravelExpenseTable[[#This Row],[Budget_Variance_USD]]/TravelExpenseTable[[#This Row],[Budget_USD]]</f>
        <v>0.12558350250605008</v>
      </c>
      <c r="AC4" s="6" t="str">
        <f t="shared" si="3"/>
        <v>Within Budget</v>
      </c>
      <c r="AD4" s="41" t="s">
        <v>50</v>
      </c>
      <c r="AE4" s="41" t="s">
        <v>50</v>
      </c>
      <c r="AF4" s="41" t="s">
        <v>52</v>
      </c>
      <c r="AG4" s="41" t="s">
        <v>53</v>
      </c>
      <c r="AH4" s="41"/>
    </row>
    <row r="5" spans="1:34">
      <c r="A5" s="41" t="s">
        <v>72</v>
      </c>
      <c r="B5" s="41" t="s">
        <v>73</v>
      </c>
      <c r="C5" s="41" t="s">
        <v>66</v>
      </c>
      <c r="D5" s="41" t="s">
        <v>67</v>
      </c>
      <c r="E5" s="41" t="s">
        <v>43</v>
      </c>
      <c r="F5" s="41" t="s">
        <v>74</v>
      </c>
      <c r="G5" s="41" t="s">
        <v>45</v>
      </c>
      <c r="H5" s="41" t="s">
        <v>75</v>
      </c>
      <c r="I5" s="41" t="s">
        <v>76</v>
      </c>
      <c r="J5" s="4">
        <v>46041</v>
      </c>
      <c r="K5" s="4">
        <v>46048</v>
      </c>
      <c r="L5" s="4">
        <v>46052</v>
      </c>
      <c r="M5" s="17">
        <f t="shared" si="0"/>
        <v>46023</v>
      </c>
      <c r="N5" s="17" t="str">
        <f t="shared" si="1"/>
        <v>Jan</v>
      </c>
      <c r="O5" s="10">
        <f t="shared" si="2"/>
        <v>1</v>
      </c>
      <c r="P5" s="10">
        <f>TravelExpenseTable[[#This Row],[Departure_Date]]-TravelExpenseTable[[#This Row],[Booking_Date]]</f>
        <v>7</v>
      </c>
      <c r="Q5" s="10">
        <f>TravelExpenseTable[[#This Row],[Return_Date]]-TravelExpenseTable[[#This Row],[Departure_Date]]</f>
        <v>4</v>
      </c>
      <c r="R5" s="41" t="s">
        <v>70</v>
      </c>
      <c r="S5" s="41" t="s">
        <v>77</v>
      </c>
      <c r="T5" s="5">
        <v>304.12</v>
      </c>
      <c r="U5" s="5">
        <v>897.71</v>
      </c>
      <c r="V5" s="5">
        <v>151.15</v>
      </c>
      <c r="W5" s="5">
        <v>451.45</v>
      </c>
      <c r="X5" s="5">
        <v>167.2</v>
      </c>
      <c r="Y5" s="6">
        <f>SUM(TravelExpenseTable[[#This Row],[Airfare_USD]],,,TravelExpenseTable[[#This Row],[Hotel_USD]],TravelExpenseTable[[#This Row],[Ground_Transport_USD]],TravelExpenseTable[[#This Row],[Meals_USD]],TravelExpenseTable[[#This Row],[Other_Expenses_USD]])</f>
        <v>1971.63</v>
      </c>
      <c r="Z5" s="5">
        <v>2181.77</v>
      </c>
      <c r="AA5" s="6">
        <f>TravelExpenseTable[[#This Row],[Budget_USD]]-TravelExpenseTable[[#This Row],[Total_Actual_USD]]</f>
        <v>210.13999999999987</v>
      </c>
      <c r="AB5" s="13">
        <f>TravelExpenseTable[[#This Row],[Budget_Variance_USD]]/TravelExpenseTable[[#This Row],[Budget_USD]]</f>
        <v>9.6316293651484752E-2</v>
      </c>
      <c r="AC5" s="6" t="str">
        <f t="shared" si="3"/>
        <v>Within Budget</v>
      </c>
      <c r="AD5" s="41" t="s">
        <v>50</v>
      </c>
      <c r="AE5" s="41" t="s">
        <v>51</v>
      </c>
      <c r="AF5" s="41" t="s">
        <v>52</v>
      </c>
      <c r="AG5" s="41" t="s">
        <v>53</v>
      </c>
      <c r="AH5" s="41"/>
    </row>
    <row r="6" spans="1:34">
      <c r="A6" s="41" t="s">
        <v>78</v>
      </c>
      <c r="B6" s="41" t="s">
        <v>79</v>
      </c>
      <c r="C6" s="41" t="s">
        <v>41</v>
      </c>
      <c r="D6" s="41" t="s">
        <v>42</v>
      </c>
      <c r="E6" s="41" t="s">
        <v>43</v>
      </c>
      <c r="F6" s="41" t="s">
        <v>80</v>
      </c>
      <c r="G6" s="41" t="s">
        <v>59</v>
      </c>
      <c r="H6" s="41" t="s">
        <v>69</v>
      </c>
      <c r="I6" s="41" t="s">
        <v>81</v>
      </c>
      <c r="J6" s="4">
        <v>46149</v>
      </c>
      <c r="K6" s="4">
        <v>46159</v>
      </c>
      <c r="L6" s="4">
        <v>46165</v>
      </c>
      <c r="M6" s="17">
        <f t="shared" si="0"/>
        <v>46143</v>
      </c>
      <c r="N6" s="17" t="str">
        <f t="shared" si="1"/>
        <v>May</v>
      </c>
      <c r="O6" s="10">
        <f t="shared" si="2"/>
        <v>5</v>
      </c>
      <c r="P6" s="10">
        <f>TravelExpenseTable[[#This Row],[Departure_Date]]-TravelExpenseTable[[#This Row],[Booking_Date]]</f>
        <v>10</v>
      </c>
      <c r="Q6" s="10">
        <f>TravelExpenseTable[[#This Row],[Return_Date]]-TravelExpenseTable[[#This Row],[Departure_Date]]</f>
        <v>6</v>
      </c>
      <c r="R6" s="41" t="s">
        <v>70</v>
      </c>
      <c r="S6" s="41" t="s">
        <v>82</v>
      </c>
      <c r="T6" s="5">
        <v>1347.14</v>
      </c>
      <c r="U6" s="5">
        <v>1402.33</v>
      </c>
      <c r="V6" s="5">
        <v>125.05</v>
      </c>
      <c r="W6" s="5">
        <v>355.56</v>
      </c>
      <c r="X6" s="5">
        <v>113.6</v>
      </c>
      <c r="Y6" s="6">
        <f>SUM(TravelExpenseTable[[#This Row],[Airfare_USD]],,,TravelExpenseTable[[#This Row],[Hotel_USD]],TravelExpenseTable[[#This Row],[Ground_Transport_USD]],TravelExpenseTable[[#This Row],[Meals_USD]],TravelExpenseTable[[#This Row],[Other_Expenses_USD]])</f>
        <v>3343.6800000000003</v>
      </c>
      <c r="Z6" s="5">
        <v>3172.09</v>
      </c>
      <c r="AA6" s="6">
        <f>TravelExpenseTable[[#This Row],[Budget_USD]]-TravelExpenseTable[[#This Row],[Total_Actual_USD]]</f>
        <v>-171.59000000000015</v>
      </c>
      <c r="AB6" s="13">
        <f>TravelExpenseTable[[#This Row],[Budget_Variance_USD]]/TravelExpenseTable[[#This Row],[Budget_USD]]</f>
        <v>-5.4093673256433501E-2</v>
      </c>
      <c r="AC6" s="6" t="str">
        <f t="shared" si="3"/>
        <v>Over Budget</v>
      </c>
      <c r="AD6" s="41" t="s">
        <v>50</v>
      </c>
      <c r="AE6" s="41" t="s">
        <v>83</v>
      </c>
      <c r="AF6" s="41" t="s">
        <v>52</v>
      </c>
      <c r="AG6" s="41" t="s">
        <v>53</v>
      </c>
      <c r="AH6" s="41"/>
    </row>
    <row r="7" spans="1:34">
      <c r="A7" s="41" t="s">
        <v>84</v>
      </c>
      <c r="B7" s="41" t="s">
        <v>85</v>
      </c>
      <c r="C7" s="41" t="s">
        <v>41</v>
      </c>
      <c r="D7" s="41" t="s">
        <v>86</v>
      </c>
      <c r="E7" s="41" t="s">
        <v>43</v>
      </c>
      <c r="F7" s="41" t="s">
        <v>87</v>
      </c>
      <c r="G7" s="41" t="s">
        <v>45</v>
      </c>
      <c r="H7" s="41" t="s">
        <v>75</v>
      </c>
      <c r="I7" s="41" t="s">
        <v>81</v>
      </c>
      <c r="J7" s="4">
        <v>46182</v>
      </c>
      <c r="K7" s="4">
        <v>46198</v>
      </c>
      <c r="L7" s="4">
        <v>46202</v>
      </c>
      <c r="M7" s="17">
        <f t="shared" si="0"/>
        <v>46174</v>
      </c>
      <c r="N7" s="17" t="str">
        <f t="shared" si="1"/>
        <v>Jun</v>
      </c>
      <c r="O7" s="10">
        <f t="shared" si="2"/>
        <v>6</v>
      </c>
      <c r="P7" s="10">
        <f>TravelExpenseTable[[#This Row],[Departure_Date]]-TravelExpenseTable[[#This Row],[Booking_Date]]</f>
        <v>16</v>
      </c>
      <c r="Q7" s="10">
        <f>TravelExpenseTable[[#This Row],[Return_Date]]-TravelExpenseTable[[#This Row],[Departure_Date]]</f>
        <v>4</v>
      </c>
      <c r="R7" s="41" t="s">
        <v>48</v>
      </c>
      <c r="S7" s="41" t="s">
        <v>77</v>
      </c>
      <c r="T7" s="5">
        <v>479.59</v>
      </c>
      <c r="U7" s="5">
        <v>820.52</v>
      </c>
      <c r="V7" s="5">
        <v>61.51</v>
      </c>
      <c r="W7" s="5">
        <v>378.16</v>
      </c>
      <c r="X7" s="5">
        <v>63.77</v>
      </c>
      <c r="Y7" s="6">
        <f>SUM(TravelExpenseTable[[#This Row],[Airfare_USD]],,,TravelExpenseTable[[#This Row],[Hotel_USD]],TravelExpenseTable[[#This Row],[Ground_Transport_USD]],TravelExpenseTable[[#This Row],[Meals_USD]],TravelExpenseTable[[#This Row],[Other_Expenses_USD]])</f>
        <v>1803.55</v>
      </c>
      <c r="Z7" s="5">
        <v>1809.56</v>
      </c>
      <c r="AA7" s="6">
        <f>TravelExpenseTable[[#This Row],[Budget_USD]]-TravelExpenseTable[[#This Row],[Total_Actual_USD]]</f>
        <v>6.0099999999999909</v>
      </c>
      <c r="AB7" s="13">
        <f>TravelExpenseTable[[#This Row],[Budget_Variance_USD]]/TravelExpenseTable[[#This Row],[Budget_USD]]</f>
        <v>3.3212493644863895E-3</v>
      </c>
      <c r="AC7" s="6" t="str">
        <f t="shared" si="3"/>
        <v>Within Budget</v>
      </c>
      <c r="AD7" s="41" t="s">
        <v>50</v>
      </c>
      <c r="AE7" s="41" t="s">
        <v>51</v>
      </c>
      <c r="AF7" s="41" t="s">
        <v>52</v>
      </c>
      <c r="AG7" s="41" t="s">
        <v>53</v>
      </c>
      <c r="AH7" s="41"/>
    </row>
    <row r="8" spans="1:34">
      <c r="A8" s="41" t="s">
        <v>88</v>
      </c>
      <c r="B8" s="41" t="s">
        <v>89</v>
      </c>
      <c r="C8" s="41" t="s">
        <v>66</v>
      </c>
      <c r="D8" s="41" t="s">
        <v>57</v>
      </c>
      <c r="E8" s="41" t="s">
        <v>43</v>
      </c>
      <c r="F8" s="41" t="s">
        <v>90</v>
      </c>
      <c r="G8" s="41" t="s">
        <v>45</v>
      </c>
      <c r="H8" s="41" t="s">
        <v>69</v>
      </c>
      <c r="I8" s="41" t="s">
        <v>60</v>
      </c>
      <c r="J8" s="4">
        <v>46121</v>
      </c>
      <c r="K8" s="4">
        <v>46130</v>
      </c>
      <c r="L8" s="4">
        <v>46133</v>
      </c>
      <c r="M8" s="17">
        <f t="shared" si="0"/>
        <v>46113</v>
      </c>
      <c r="N8" s="17" t="str">
        <f t="shared" si="1"/>
        <v>Apr</v>
      </c>
      <c r="O8" s="10">
        <f t="shared" si="2"/>
        <v>4</v>
      </c>
      <c r="P8" s="10">
        <f>TravelExpenseTable[[#This Row],[Departure_Date]]-TravelExpenseTable[[#This Row],[Booking_Date]]</f>
        <v>9</v>
      </c>
      <c r="Q8" s="10">
        <f>TravelExpenseTable[[#This Row],[Return_Date]]-TravelExpenseTable[[#This Row],[Departure_Date]]</f>
        <v>3</v>
      </c>
      <c r="R8" s="41" t="s">
        <v>70</v>
      </c>
      <c r="S8" s="41" t="s">
        <v>91</v>
      </c>
      <c r="T8" s="5">
        <v>289.89999999999998</v>
      </c>
      <c r="U8" s="5">
        <v>508.07</v>
      </c>
      <c r="V8" s="5">
        <v>125.96</v>
      </c>
      <c r="W8" s="5">
        <v>322.41000000000003</v>
      </c>
      <c r="X8" s="5">
        <v>13.57</v>
      </c>
      <c r="Y8" s="6">
        <f>SUM(TravelExpenseTable[[#This Row],[Airfare_USD]],,,TravelExpenseTable[[#This Row],[Hotel_USD]],TravelExpenseTable[[#This Row],[Ground_Transport_USD]],TravelExpenseTable[[#This Row],[Meals_USD]],TravelExpenseTable[[#This Row],[Other_Expenses_USD]])</f>
        <v>1259.9100000000001</v>
      </c>
      <c r="Z8" s="5">
        <v>1414.13</v>
      </c>
      <c r="AA8" s="6">
        <f>TravelExpenseTable[[#This Row],[Budget_USD]]-TravelExpenseTable[[#This Row],[Total_Actual_USD]]</f>
        <v>154.22000000000003</v>
      </c>
      <c r="AB8" s="13">
        <f>TravelExpenseTable[[#This Row],[Budget_Variance_USD]]/TravelExpenseTable[[#This Row],[Budget_USD]]</f>
        <v>0.10905645166993135</v>
      </c>
      <c r="AC8" s="6" t="str">
        <f t="shared" si="3"/>
        <v>Within Budget</v>
      </c>
      <c r="AD8" s="41" t="s">
        <v>51</v>
      </c>
      <c r="AE8" s="41" t="s">
        <v>92</v>
      </c>
      <c r="AF8" s="41" t="s">
        <v>52</v>
      </c>
      <c r="AG8" s="41" t="s">
        <v>53</v>
      </c>
      <c r="AH8" s="41"/>
    </row>
    <row r="9" spans="1:34">
      <c r="A9" s="41" t="s">
        <v>93</v>
      </c>
      <c r="B9" s="41" t="s">
        <v>94</v>
      </c>
      <c r="C9" s="41" t="s">
        <v>95</v>
      </c>
      <c r="D9" s="41" t="s">
        <v>57</v>
      </c>
      <c r="E9" s="41" t="s">
        <v>43</v>
      </c>
      <c r="F9" s="41" t="s">
        <v>96</v>
      </c>
      <c r="G9" s="41" t="s">
        <v>45</v>
      </c>
      <c r="H9" s="41" t="s">
        <v>97</v>
      </c>
      <c r="I9" s="41" t="s">
        <v>81</v>
      </c>
      <c r="J9" s="4">
        <v>46037</v>
      </c>
      <c r="K9" s="4">
        <v>46050</v>
      </c>
      <c r="L9" s="4">
        <v>46052</v>
      </c>
      <c r="M9" s="17">
        <f t="shared" si="0"/>
        <v>46023</v>
      </c>
      <c r="N9" s="17" t="str">
        <f t="shared" si="1"/>
        <v>Jan</v>
      </c>
      <c r="O9" s="10">
        <f t="shared" si="2"/>
        <v>1</v>
      </c>
      <c r="P9" s="10">
        <f>TravelExpenseTable[[#This Row],[Departure_Date]]-TravelExpenseTable[[#This Row],[Booking_Date]]</f>
        <v>13</v>
      </c>
      <c r="Q9" s="10">
        <f>TravelExpenseTable[[#This Row],[Return_Date]]-TravelExpenseTable[[#This Row],[Departure_Date]]</f>
        <v>2</v>
      </c>
      <c r="R9" s="41" t="s">
        <v>98</v>
      </c>
      <c r="S9" s="41" t="s">
        <v>77</v>
      </c>
      <c r="T9" s="5">
        <v>438.59</v>
      </c>
      <c r="U9" s="5">
        <v>463.45</v>
      </c>
      <c r="V9" s="5">
        <v>111.32</v>
      </c>
      <c r="W9" s="5">
        <v>228.24</v>
      </c>
      <c r="X9" s="5">
        <v>47.74</v>
      </c>
      <c r="Y9" s="6">
        <f>SUM(TravelExpenseTable[[#This Row],[Airfare_USD]],,,TravelExpenseTable[[#This Row],[Hotel_USD]],TravelExpenseTable[[#This Row],[Ground_Transport_USD]],TravelExpenseTable[[#This Row],[Meals_USD]],TravelExpenseTable[[#This Row],[Other_Expenses_USD]])</f>
        <v>1289.3399999999999</v>
      </c>
      <c r="Z9" s="5">
        <v>1437.9</v>
      </c>
      <c r="AA9" s="6">
        <f>TravelExpenseTable[[#This Row],[Budget_USD]]-TravelExpenseTable[[#This Row],[Total_Actual_USD]]</f>
        <v>148.56000000000017</v>
      </c>
      <c r="AB9" s="13">
        <f>TravelExpenseTable[[#This Row],[Budget_Variance_USD]]/TravelExpenseTable[[#This Row],[Budget_USD]]</f>
        <v>0.10331733778426884</v>
      </c>
      <c r="AC9" s="6" t="str">
        <f t="shared" si="3"/>
        <v>Within Budget</v>
      </c>
      <c r="AD9" s="41" t="s">
        <v>50</v>
      </c>
      <c r="AE9" s="41" t="s">
        <v>83</v>
      </c>
      <c r="AF9" s="41" t="s">
        <v>52</v>
      </c>
      <c r="AG9" s="41" t="s">
        <v>53</v>
      </c>
      <c r="AH9" s="41"/>
    </row>
    <row r="10" spans="1:34">
      <c r="A10" s="41" t="s">
        <v>99</v>
      </c>
      <c r="B10" s="41" t="s">
        <v>100</v>
      </c>
      <c r="C10" s="41" t="s">
        <v>41</v>
      </c>
      <c r="D10" s="41" t="s">
        <v>57</v>
      </c>
      <c r="E10" s="41" t="s">
        <v>43</v>
      </c>
      <c r="F10" s="41" t="s">
        <v>101</v>
      </c>
      <c r="G10" s="41" t="s">
        <v>59</v>
      </c>
      <c r="H10" s="41" t="s">
        <v>69</v>
      </c>
      <c r="I10" s="41" t="s">
        <v>60</v>
      </c>
      <c r="J10" s="4">
        <v>46045</v>
      </c>
      <c r="K10" s="4">
        <v>46066</v>
      </c>
      <c r="L10" s="4">
        <v>46070</v>
      </c>
      <c r="M10" s="17">
        <f t="shared" si="0"/>
        <v>46054</v>
      </c>
      <c r="N10" s="17" t="str">
        <f t="shared" si="1"/>
        <v>Feb</v>
      </c>
      <c r="O10" s="10">
        <f t="shared" si="2"/>
        <v>2</v>
      </c>
      <c r="P10" s="10">
        <f>TravelExpenseTable[[#This Row],[Departure_Date]]-TravelExpenseTable[[#This Row],[Booking_Date]]</f>
        <v>21</v>
      </c>
      <c r="Q10" s="10">
        <f>TravelExpenseTable[[#This Row],[Return_Date]]-TravelExpenseTable[[#This Row],[Departure_Date]]</f>
        <v>4</v>
      </c>
      <c r="R10" s="41" t="s">
        <v>102</v>
      </c>
      <c r="S10" s="41" t="s">
        <v>62</v>
      </c>
      <c r="T10" s="5">
        <v>762.88</v>
      </c>
      <c r="U10" s="5">
        <v>1203.97</v>
      </c>
      <c r="V10" s="5">
        <v>195.71</v>
      </c>
      <c r="W10" s="5">
        <v>424.65</v>
      </c>
      <c r="X10" s="5">
        <v>28.34</v>
      </c>
      <c r="Y10" s="6">
        <f>SUM(TravelExpenseTable[[#This Row],[Airfare_USD]],,,TravelExpenseTable[[#This Row],[Hotel_USD]],TravelExpenseTable[[#This Row],[Ground_Transport_USD]],TravelExpenseTable[[#This Row],[Meals_USD]],TravelExpenseTable[[#This Row],[Other_Expenses_USD]])</f>
        <v>2615.5500000000002</v>
      </c>
      <c r="Z10" s="5">
        <v>3055.57</v>
      </c>
      <c r="AA10" s="6">
        <f>TravelExpenseTable[[#This Row],[Budget_USD]]-TravelExpenseTable[[#This Row],[Total_Actual_USD]]</f>
        <v>440.02</v>
      </c>
      <c r="AB10" s="13">
        <f>TravelExpenseTable[[#This Row],[Budget_Variance_USD]]/TravelExpenseTable[[#This Row],[Budget_USD]]</f>
        <v>0.14400586469954868</v>
      </c>
      <c r="AC10" s="6" t="str">
        <f t="shared" si="3"/>
        <v>Within Budget</v>
      </c>
      <c r="AD10" s="41" t="s">
        <v>50</v>
      </c>
      <c r="AE10" s="41" t="s">
        <v>50</v>
      </c>
      <c r="AF10" s="41" t="s">
        <v>52</v>
      </c>
      <c r="AG10" s="41" t="s">
        <v>53</v>
      </c>
      <c r="AH10" s="41"/>
    </row>
    <row r="11" spans="1:34">
      <c r="A11" s="41" t="s">
        <v>103</v>
      </c>
      <c r="B11" s="41" t="s">
        <v>55</v>
      </c>
      <c r="C11" s="41" t="s">
        <v>56</v>
      </c>
      <c r="D11" s="41" t="s">
        <v>57</v>
      </c>
      <c r="E11" s="41" t="s">
        <v>43</v>
      </c>
      <c r="F11" s="41" t="s">
        <v>104</v>
      </c>
      <c r="G11" s="41" t="s">
        <v>45</v>
      </c>
      <c r="H11" s="41" t="s">
        <v>69</v>
      </c>
      <c r="I11" s="41" t="s">
        <v>60</v>
      </c>
      <c r="J11" s="4">
        <v>46091</v>
      </c>
      <c r="K11" s="4">
        <v>46130</v>
      </c>
      <c r="L11" s="4">
        <v>46131</v>
      </c>
      <c r="M11" s="17">
        <f t="shared" si="0"/>
        <v>46113</v>
      </c>
      <c r="N11" s="17" t="str">
        <f t="shared" si="1"/>
        <v>Apr</v>
      </c>
      <c r="O11" s="10">
        <f t="shared" si="2"/>
        <v>4</v>
      </c>
      <c r="P11" s="10">
        <f>TravelExpenseTable[[#This Row],[Departure_Date]]-TravelExpenseTable[[#This Row],[Booking_Date]]</f>
        <v>39</v>
      </c>
      <c r="Q11" s="10">
        <f>TravelExpenseTable[[#This Row],[Return_Date]]-TravelExpenseTable[[#This Row],[Departure_Date]]</f>
        <v>1</v>
      </c>
      <c r="R11" s="41" t="s">
        <v>48</v>
      </c>
      <c r="S11" s="41" t="s">
        <v>62</v>
      </c>
      <c r="T11" s="5">
        <v>407.82</v>
      </c>
      <c r="U11" s="5">
        <v>324.56</v>
      </c>
      <c r="V11" s="5">
        <v>208.57</v>
      </c>
      <c r="W11" s="5">
        <v>67.260000000000005</v>
      </c>
      <c r="X11" s="5">
        <v>128.91</v>
      </c>
      <c r="Y11" s="6">
        <f>SUM(TravelExpenseTable[[#This Row],[Airfare_USD]],,,TravelExpenseTable[[#This Row],[Hotel_USD]],TravelExpenseTable[[#This Row],[Ground_Transport_USD]],TravelExpenseTable[[#This Row],[Meals_USD]],TravelExpenseTable[[#This Row],[Other_Expenses_USD]])</f>
        <v>1137.1200000000001</v>
      </c>
      <c r="Z11" s="5">
        <v>1082.0899999999999</v>
      </c>
      <c r="AA11" s="6">
        <f>TravelExpenseTable[[#This Row],[Budget_USD]]-TravelExpenseTable[[#This Row],[Total_Actual_USD]]</f>
        <v>-55.0300000000002</v>
      </c>
      <c r="AB11" s="13">
        <f>TravelExpenseTable[[#This Row],[Budget_Variance_USD]]/TravelExpenseTable[[#This Row],[Budget_USD]]</f>
        <v>-5.0855289301259786E-2</v>
      </c>
      <c r="AC11" s="6" t="str">
        <f t="shared" si="3"/>
        <v>Over Budget</v>
      </c>
      <c r="AD11" s="41" t="s">
        <v>50</v>
      </c>
      <c r="AE11" s="41" t="s">
        <v>50</v>
      </c>
      <c r="AF11" s="41" t="s">
        <v>52</v>
      </c>
      <c r="AG11" s="41" t="s">
        <v>53</v>
      </c>
      <c r="AH11" s="41"/>
    </row>
    <row r="12" spans="1:34">
      <c r="A12" s="41" t="s">
        <v>105</v>
      </c>
      <c r="B12" s="41" t="s">
        <v>106</v>
      </c>
      <c r="C12" s="41" t="s">
        <v>41</v>
      </c>
      <c r="D12" s="41" t="s">
        <v>107</v>
      </c>
      <c r="E12" s="41" t="s">
        <v>43</v>
      </c>
      <c r="F12" s="41" t="s">
        <v>80</v>
      </c>
      <c r="G12" s="41" t="s">
        <v>59</v>
      </c>
      <c r="H12" s="41" t="s">
        <v>108</v>
      </c>
      <c r="I12" s="41" t="s">
        <v>81</v>
      </c>
      <c r="J12" s="4">
        <v>46104</v>
      </c>
      <c r="K12" s="4">
        <v>46107</v>
      </c>
      <c r="L12" s="4">
        <v>46110</v>
      </c>
      <c r="M12" s="17">
        <f t="shared" si="0"/>
        <v>46082</v>
      </c>
      <c r="N12" s="17" t="str">
        <f t="shared" si="1"/>
        <v>Mar</v>
      </c>
      <c r="O12" s="10">
        <f t="shared" si="2"/>
        <v>3</v>
      </c>
      <c r="P12" s="10">
        <f>TravelExpenseTable[[#This Row],[Departure_Date]]-TravelExpenseTable[[#This Row],[Booking_Date]]</f>
        <v>3</v>
      </c>
      <c r="Q12" s="10">
        <f>TravelExpenseTable[[#This Row],[Return_Date]]-TravelExpenseTable[[#This Row],[Departure_Date]]</f>
        <v>3</v>
      </c>
      <c r="R12" s="41" t="s">
        <v>61</v>
      </c>
      <c r="S12" s="41" t="s">
        <v>82</v>
      </c>
      <c r="T12" s="5">
        <v>1183.32</v>
      </c>
      <c r="U12" s="5">
        <v>1101.96</v>
      </c>
      <c r="V12" s="5">
        <v>290.22000000000003</v>
      </c>
      <c r="W12" s="5">
        <v>323.27</v>
      </c>
      <c r="X12" s="5">
        <v>66.510000000000005</v>
      </c>
      <c r="Y12" s="6">
        <f>SUM(TravelExpenseTable[[#This Row],[Airfare_USD]],,,TravelExpenseTable[[#This Row],[Hotel_USD]],TravelExpenseTable[[#This Row],[Ground_Transport_USD]],TravelExpenseTable[[#This Row],[Meals_USD]],TravelExpenseTable[[#This Row],[Other_Expenses_USD]])</f>
        <v>2965.28</v>
      </c>
      <c r="Z12" s="5">
        <v>2749.78</v>
      </c>
      <c r="AA12" s="6">
        <f>TravelExpenseTable[[#This Row],[Budget_USD]]-TravelExpenseTable[[#This Row],[Total_Actual_USD]]</f>
        <v>-215.5</v>
      </c>
      <c r="AB12" s="13">
        <f>TravelExpenseTable[[#This Row],[Budget_Variance_USD]]/TravelExpenseTable[[#This Row],[Budget_USD]]</f>
        <v>-7.8369905956112845E-2</v>
      </c>
      <c r="AC12" s="6" t="str">
        <f t="shared" si="3"/>
        <v>Over Budget</v>
      </c>
      <c r="AD12" s="41" t="s">
        <v>51</v>
      </c>
      <c r="AE12" s="41" t="s">
        <v>51</v>
      </c>
      <c r="AF12" s="41" t="s">
        <v>52</v>
      </c>
      <c r="AG12" s="41" t="s">
        <v>53</v>
      </c>
      <c r="AH12" s="41"/>
    </row>
    <row r="13" spans="1:34">
      <c r="A13" s="41" t="s">
        <v>109</v>
      </c>
      <c r="B13" s="41" t="s">
        <v>110</v>
      </c>
      <c r="C13" s="41" t="s">
        <v>41</v>
      </c>
      <c r="D13" s="41" t="s">
        <v>111</v>
      </c>
      <c r="E13" s="41" t="s">
        <v>43</v>
      </c>
      <c r="F13" s="41" t="s">
        <v>96</v>
      </c>
      <c r="G13" s="41" t="s">
        <v>45</v>
      </c>
      <c r="H13" s="41" t="s">
        <v>112</v>
      </c>
      <c r="I13" s="41" t="s">
        <v>81</v>
      </c>
      <c r="J13" s="4">
        <v>46152</v>
      </c>
      <c r="K13" s="4">
        <v>46197</v>
      </c>
      <c r="L13" s="4">
        <v>46200</v>
      </c>
      <c r="M13" s="17">
        <f t="shared" si="0"/>
        <v>46174</v>
      </c>
      <c r="N13" s="17" t="str">
        <f t="shared" si="1"/>
        <v>Jun</v>
      </c>
      <c r="O13" s="10">
        <f t="shared" si="2"/>
        <v>6</v>
      </c>
      <c r="P13" s="10">
        <f>TravelExpenseTable[[#This Row],[Departure_Date]]-TravelExpenseTable[[#This Row],[Booking_Date]]</f>
        <v>45</v>
      </c>
      <c r="Q13" s="10">
        <f>TravelExpenseTable[[#This Row],[Return_Date]]-TravelExpenseTable[[#This Row],[Departure_Date]]</f>
        <v>3</v>
      </c>
      <c r="R13" s="41" t="s">
        <v>70</v>
      </c>
      <c r="S13" s="41" t="s">
        <v>113</v>
      </c>
      <c r="T13" s="5">
        <v>245.35</v>
      </c>
      <c r="U13" s="5">
        <v>823.41</v>
      </c>
      <c r="V13" s="5">
        <v>150.85</v>
      </c>
      <c r="W13" s="5">
        <v>294.17</v>
      </c>
      <c r="X13" s="5">
        <v>36.65</v>
      </c>
      <c r="Y13" s="6">
        <f>SUM(TravelExpenseTable[[#This Row],[Airfare_USD]],,,TravelExpenseTable[[#This Row],[Hotel_USD]],TravelExpenseTable[[#This Row],[Ground_Transport_USD]],TravelExpenseTable[[#This Row],[Meals_USD]],TravelExpenseTable[[#This Row],[Other_Expenses_USD]])</f>
        <v>1550.43</v>
      </c>
      <c r="Z13" s="5">
        <v>1659.38</v>
      </c>
      <c r="AA13" s="6">
        <f>TravelExpenseTable[[#This Row],[Budget_USD]]-TravelExpenseTable[[#This Row],[Total_Actual_USD]]</f>
        <v>108.95000000000005</v>
      </c>
      <c r="AB13" s="13">
        <f>TravelExpenseTable[[#This Row],[Budget_Variance_USD]]/TravelExpenseTable[[#This Row],[Budget_USD]]</f>
        <v>6.5657052634116378E-2</v>
      </c>
      <c r="AC13" s="6" t="str">
        <f t="shared" si="3"/>
        <v>Within Budget</v>
      </c>
      <c r="AD13" s="41" t="s">
        <v>50</v>
      </c>
      <c r="AE13" s="41" t="s">
        <v>50</v>
      </c>
      <c r="AF13" s="41" t="s">
        <v>52</v>
      </c>
      <c r="AG13" s="41" t="s">
        <v>53</v>
      </c>
      <c r="AH13" s="41"/>
    </row>
    <row r="14" spans="1:34">
      <c r="A14" s="55" t="s">
        <v>114</v>
      </c>
      <c r="B14" s="55" t="s">
        <v>115</v>
      </c>
      <c r="C14" s="55" t="s">
        <v>66</v>
      </c>
      <c r="D14" s="55" t="s">
        <v>42</v>
      </c>
      <c r="E14" s="55" t="s">
        <v>43</v>
      </c>
      <c r="F14" s="55" t="s">
        <v>74</v>
      </c>
      <c r="G14" s="55" t="s">
        <v>45</v>
      </c>
      <c r="H14" s="55" t="s">
        <v>116</v>
      </c>
      <c r="I14" s="55" t="s">
        <v>47</v>
      </c>
      <c r="J14" s="56">
        <v>46169</v>
      </c>
      <c r="K14" s="56">
        <v>46189</v>
      </c>
      <c r="L14" s="56">
        <v>46193</v>
      </c>
      <c r="M14" s="57">
        <f t="shared" si="0"/>
        <v>46174</v>
      </c>
      <c r="N14" s="57" t="str">
        <f t="shared" si="1"/>
        <v>Jun</v>
      </c>
      <c r="O14" s="58">
        <f t="shared" si="2"/>
        <v>6</v>
      </c>
      <c r="P14" s="58">
        <f>TravelExpenseTable[[#This Row],[Departure_Date]]-TravelExpenseTable[[#This Row],[Booking_Date]]</f>
        <v>20</v>
      </c>
      <c r="Q14" s="58">
        <f>TravelExpenseTable[[#This Row],[Return_Date]]-TravelExpenseTable[[#This Row],[Departure_Date]]</f>
        <v>4</v>
      </c>
      <c r="R14" s="55" t="s">
        <v>102</v>
      </c>
      <c r="S14" s="55" t="s">
        <v>71</v>
      </c>
      <c r="T14" s="59">
        <v>573.15</v>
      </c>
      <c r="U14" s="59">
        <v>727.65</v>
      </c>
      <c r="V14" s="59">
        <v>174.72</v>
      </c>
      <c r="W14" s="59">
        <v>352.4</v>
      </c>
      <c r="X14" s="59">
        <v>76.98</v>
      </c>
      <c r="Y14" s="60">
        <f>SUM(TravelExpenseTable[[#This Row],[Airfare_USD]],,,TravelExpenseTable[[#This Row],[Hotel_USD]],TravelExpenseTable[[#This Row],[Ground_Transport_USD]],TravelExpenseTable[[#This Row],[Meals_USD]],TravelExpenseTable[[#This Row],[Other_Expenses_USD]])</f>
        <v>1904.9</v>
      </c>
      <c r="Z14" s="59">
        <v>1681.84</v>
      </c>
      <c r="AA14" s="60">
        <f>TravelExpenseTable[[#This Row],[Budget_USD]]-TravelExpenseTable[[#This Row],[Total_Actual_USD]]</f>
        <v>-223.06000000000017</v>
      </c>
      <c r="AB14" s="61">
        <f>TravelExpenseTable[[#This Row],[Budget_Variance_USD]]/TravelExpenseTable[[#This Row],[Budget_USD]]</f>
        <v>-0.13262854968367987</v>
      </c>
      <c r="AC14" s="60" t="str">
        <f t="shared" si="3"/>
        <v>Over Budget</v>
      </c>
      <c r="AD14" s="55" t="s">
        <v>50</v>
      </c>
      <c r="AE14" s="55" t="s">
        <v>51</v>
      </c>
      <c r="AF14" s="55" t="s">
        <v>53</v>
      </c>
      <c r="AG14" s="55" t="s">
        <v>52</v>
      </c>
      <c r="AH14" s="55" t="s">
        <v>117</v>
      </c>
    </row>
    <row r="15" spans="1:34">
      <c r="A15" s="55" t="s">
        <v>118</v>
      </c>
      <c r="B15" s="55" t="s">
        <v>119</v>
      </c>
      <c r="C15" s="55" t="s">
        <v>41</v>
      </c>
      <c r="D15" s="55" t="s">
        <v>111</v>
      </c>
      <c r="E15" s="55" t="s">
        <v>43</v>
      </c>
      <c r="F15" s="55" t="s">
        <v>120</v>
      </c>
      <c r="G15" s="55" t="s">
        <v>59</v>
      </c>
      <c r="H15" s="55" t="s">
        <v>116</v>
      </c>
      <c r="I15" s="55" t="s">
        <v>47</v>
      </c>
      <c r="J15" s="56">
        <v>46053</v>
      </c>
      <c r="K15" s="56">
        <v>46064</v>
      </c>
      <c r="L15" s="56">
        <v>46070</v>
      </c>
      <c r="M15" s="57">
        <f t="shared" si="0"/>
        <v>46054</v>
      </c>
      <c r="N15" s="57" t="str">
        <f t="shared" si="1"/>
        <v>Feb</v>
      </c>
      <c r="O15" s="58">
        <f t="shared" si="2"/>
        <v>2</v>
      </c>
      <c r="P15" s="58">
        <f>TravelExpenseTable[[#This Row],[Departure_Date]]-TravelExpenseTable[[#This Row],[Booking_Date]]</f>
        <v>11</v>
      </c>
      <c r="Q15" s="58">
        <f>TravelExpenseTable[[#This Row],[Return_Date]]-TravelExpenseTable[[#This Row],[Departure_Date]]</f>
        <v>6</v>
      </c>
      <c r="R15" s="55" t="s">
        <v>121</v>
      </c>
      <c r="S15" s="55" t="s">
        <v>71</v>
      </c>
      <c r="T15" s="59">
        <v>1575.73</v>
      </c>
      <c r="U15" s="59">
        <v>2121.1999999999998</v>
      </c>
      <c r="V15" s="59">
        <v>294.73</v>
      </c>
      <c r="W15" s="59">
        <v>405.63</v>
      </c>
      <c r="X15" s="59">
        <v>44.92</v>
      </c>
      <c r="Y15" s="60">
        <f>SUM(TravelExpenseTable[[#This Row],[Airfare_USD]],,,TravelExpenseTable[[#This Row],[Hotel_USD]],TravelExpenseTable[[#This Row],[Ground_Transport_USD]],TravelExpenseTable[[#This Row],[Meals_USD]],TravelExpenseTable[[#This Row],[Other_Expenses_USD]])</f>
        <v>4442.21</v>
      </c>
      <c r="Z15" s="59">
        <v>4046.13</v>
      </c>
      <c r="AA15" s="60">
        <f>TravelExpenseTable[[#This Row],[Budget_USD]]-TravelExpenseTable[[#This Row],[Total_Actual_USD]]</f>
        <v>-396.07999999999993</v>
      </c>
      <c r="AB15" s="61">
        <f>TravelExpenseTable[[#This Row],[Budget_Variance_USD]]/TravelExpenseTable[[#This Row],[Budget_USD]]</f>
        <v>-9.7891071221142156E-2</v>
      </c>
      <c r="AC15" s="60" t="str">
        <f t="shared" si="3"/>
        <v>Over Budget</v>
      </c>
      <c r="AD15" s="55" t="s">
        <v>51</v>
      </c>
      <c r="AE15" s="55" t="s">
        <v>83</v>
      </c>
      <c r="AF15" s="55" t="s">
        <v>53</v>
      </c>
      <c r="AG15" s="55" t="s">
        <v>52</v>
      </c>
      <c r="AH15" s="55" t="s">
        <v>63</v>
      </c>
    </row>
    <row r="16" spans="1:34">
      <c r="A16" s="41" t="s">
        <v>122</v>
      </c>
      <c r="B16" s="41" t="s">
        <v>123</v>
      </c>
      <c r="C16" s="41" t="s">
        <v>41</v>
      </c>
      <c r="D16" s="41" t="s">
        <v>124</v>
      </c>
      <c r="E16" s="41" t="s">
        <v>43</v>
      </c>
      <c r="F16" s="41" t="s">
        <v>125</v>
      </c>
      <c r="G16" s="41" t="s">
        <v>45</v>
      </c>
      <c r="H16" s="41" t="s">
        <v>126</v>
      </c>
      <c r="I16" s="41" t="s">
        <v>81</v>
      </c>
      <c r="J16" s="4">
        <v>46118</v>
      </c>
      <c r="K16" s="4">
        <v>46132</v>
      </c>
      <c r="L16" s="4">
        <v>46133</v>
      </c>
      <c r="M16" s="17">
        <f t="shared" si="0"/>
        <v>46113</v>
      </c>
      <c r="N16" s="17" t="str">
        <f t="shared" si="1"/>
        <v>Apr</v>
      </c>
      <c r="O16" s="10">
        <f t="shared" si="2"/>
        <v>4</v>
      </c>
      <c r="P16" s="10">
        <f>TravelExpenseTable[[#This Row],[Departure_Date]]-TravelExpenseTable[[#This Row],[Booking_Date]]</f>
        <v>14</v>
      </c>
      <c r="Q16" s="10">
        <f>TravelExpenseTable[[#This Row],[Return_Date]]-TravelExpenseTable[[#This Row],[Departure_Date]]</f>
        <v>1</v>
      </c>
      <c r="R16" s="41" t="s">
        <v>98</v>
      </c>
      <c r="S16" s="41" t="s">
        <v>91</v>
      </c>
      <c r="T16" s="5">
        <v>658.8</v>
      </c>
      <c r="U16" s="5">
        <v>241.62</v>
      </c>
      <c r="V16" s="5">
        <v>197.63</v>
      </c>
      <c r="W16" s="5">
        <v>106.52</v>
      </c>
      <c r="X16" s="5">
        <v>40.04</v>
      </c>
      <c r="Y16" s="6">
        <f>SUM(TravelExpenseTable[[#This Row],[Airfare_USD]],,,TravelExpenseTable[[#This Row],[Hotel_USD]],TravelExpenseTable[[#This Row],[Ground_Transport_USD]],TravelExpenseTable[[#This Row],[Meals_USD]],TravelExpenseTable[[#This Row],[Other_Expenses_USD]])</f>
        <v>1244.6099999999999</v>
      </c>
      <c r="Z16" s="5">
        <v>1400.16</v>
      </c>
      <c r="AA16" s="6">
        <f>TravelExpenseTable[[#This Row],[Budget_USD]]-TravelExpenseTable[[#This Row],[Total_Actual_USD]]</f>
        <v>155.55000000000018</v>
      </c>
      <c r="AB16" s="13">
        <f>TravelExpenseTable[[#This Row],[Budget_Variance_USD]]/TravelExpenseTable[[#This Row],[Budget_USD]]</f>
        <v>0.11109444634898881</v>
      </c>
      <c r="AC16" s="6" t="str">
        <f t="shared" si="3"/>
        <v>Within Budget</v>
      </c>
      <c r="AD16" s="41" t="s">
        <v>50</v>
      </c>
      <c r="AE16" s="41" t="s">
        <v>83</v>
      </c>
      <c r="AF16" s="41" t="s">
        <v>52</v>
      </c>
      <c r="AG16" s="41" t="s">
        <v>53</v>
      </c>
      <c r="AH16" s="41"/>
    </row>
    <row r="17" spans="1:34">
      <c r="A17" s="41" t="s">
        <v>127</v>
      </c>
      <c r="B17" s="41" t="s">
        <v>128</v>
      </c>
      <c r="C17" s="41" t="s">
        <v>95</v>
      </c>
      <c r="D17" s="41" t="s">
        <v>67</v>
      </c>
      <c r="E17" s="41" t="s">
        <v>43</v>
      </c>
      <c r="F17" s="41" t="s">
        <v>104</v>
      </c>
      <c r="G17" s="41" t="s">
        <v>45</v>
      </c>
      <c r="H17" s="41" t="s">
        <v>126</v>
      </c>
      <c r="I17" s="41" t="s">
        <v>76</v>
      </c>
      <c r="J17" s="4">
        <v>46005</v>
      </c>
      <c r="K17" s="4">
        <v>46033</v>
      </c>
      <c r="L17" s="4">
        <v>46035</v>
      </c>
      <c r="M17" s="17">
        <f t="shared" si="0"/>
        <v>46023</v>
      </c>
      <c r="N17" s="17" t="str">
        <f t="shared" si="1"/>
        <v>Jan</v>
      </c>
      <c r="O17" s="10">
        <f t="shared" si="2"/>
        <v>1</v>
      </c>
      <c r="P17" s="10">
        <f>TravelExpenseTable[[#This Row],[Departure_Date]]-TravelExpenseTable[[#This Row],[Booking_Date]]</f>
        <v>28</v>
      </c>
      <c r="Q17" s="10">
        <f>TravelExpenseTable[[#This Row],[Return_Date]]-TravelExpenseTable[[#This Row],[Departure_Date]]</f>
        <v>2</v>
      </c>
      <c r="R17" s="41" t="s">
        <v>121</v>
      </c>
      <c r="S17" s="41" t="s">
        <v>82</v>
      </c>
      <c r="T17" s="5">
        <v>369.1</v>
      </c>
      <c r="U17" s="5">
        <v>696.59</v>
      </c>
      <c r="V17" s="5">
        <v>114.94</v>
      </c>
      <c r="W17" s="5">
        <v>227.74</v>
      </c>
      <c r="X17" s="5">
        <v>96.52</v>
      </c>
      <c r="Y17" s="6">
        <f>SUM(TravelExpenseTable[[#This Row],[Airfare_USD]],,,TravelExpenseTable[[#This Row],[Hotel_USD]],TravelExpenseTable[[#This Row],[Ground_Transport_USD]],TravelExpenseTable[[#This Row],[Meals_USD]],TravelExpenseTable[[#This Row],[Other_Expenses_USD]])</f>
        <v>1504.89</v>
      </c>
      <c r="Z17" s="5">
        <v>1748.34</v>
      </c>
      <c r="AA17" s="6">
        <f>TravelExpenseTable[[#This Row],[Budget_USD]]-TravelExpenseTable[[#This Row],[Total_Actual_USD]]</f>
        <v>243.44999999999982</v>
      </c>
      <c r="AB17" s="13">
        <f>TravelExpenseTable[[#This Row],[Budget_Variance_USD]]/TravelExpenseTable[[#This Row],[Budget_USD]]</f>
        <v>0.13924637084319974</v>
      </c>
      <c r="AC17" s="6" t="str">
        <f t="shared" si="3"/>
        <v>Within Budget</v>
      </c>
      <c r="AD17" s="41" t="s">
        <v>50</v>
      </c>
      <c r="AE17" s="41" t="s">
        <v>83</v>
      </c>
      <c r="AF17" s="41" t="s">
        <v>52</v>
      </c>
      <c r="AG17" s="41" t="s">
        <v>53</v>
      </c>
      <c r="AH17" s="41"/>
    </row>
    <row r="18" spans="1:34">
      <c r="A18" s="41" t="s">
        <v>129</v>
      </c>
      <c r="B18" s="41" t="s">
        <v>130</v>
      </c>
      <c r="C18" s="41" t="s">
        <v>41</v>
      </c>
      <c r="D18" s="41" t="s">
        <v>57</v>
      </c>
      <c r="E18" s="41" t="s">
        <v>43</v>
      </c>
      <c r="F18" s="41" t="s">
        <v>90</v>
      </c>
      <c r="G18" s="41" t="s">
        <v>45</v>
      </c>
      <c r="H18" s="41" t="s">
        <v>126</v>
      </c>
      <c r="I18" s="41" t="s">
        <v>81</v>
      </c>
      <c r="J18" s="4">
        <v>46029</v>
      </c>
      <c r="K18" s="4">
        <v>46054</v>
      </c>
      <c r="L18" s="4">
        <v>46058</v>
      </c>
      <c r="M18" s="17">
        <f t="shared" si="0"/>
        <v>46054</v>
      </c>
      <c r="N18" s="17" t="str">
        <f t="shared" si="1"/>
        <v>Feb</v>
      </c>
      <c r="O18" s="10">
        <f t="shared" si="2"/>
        <v>2</v>
      </c>
      <c r="P18" s="10">
        <f>TravelExpenseTable[[#This Row],[Departure_Date]]-TravelExpenseTable[[#This Row],[Booking_Date]]</f>
        <v>25</v>
      </c>
      <c r="Q18" s="10">
        <f>TravelExpenseTable[[#This Row],[Return_Date]]-TravelExpenseTable[[#This Row],[Departure_Date]]</f>
        <v>4</v>
      </c>
      <c r="R18" s="41" t="s">
        <v>98</v>
      </c>
      <c r="S18" s="41" t="s">
        <v>82</v>
      </c>
      <c r="T18" s="5">
        <v>538.66</v>
      </c>
      <c r="U18" s="5">
        <v>723.02</v>
      </c>
      <c r="V18" s="5">
        <v>169.04</v>
      </c>
      <c r="W18" s="5">
        <v>220.41</v>
      </c>
      <c r="X18" s="5">
        <v>166.6</v>
      </c>
      <c r="Y18" s="6">
        <f>SUM(TravelExpenseTable[[#This Row],[Airfare_USD]],,,TravelExpenseTable[[#This Row],[Hotel_USD]],TravelExpenseTable[[#This Row],[Ground_Transport_USD]],TravelExpenseTable[[#This Row],[Meals_USD]],TravelExpenseTable[[#This Row],[Other_Expenses_USD]])</f>
        <v>1817.7299999999998</v>
      </c>
      <c r="Z18" s="5">
        <v>1893.23</v>
      </c>
      <c r="AA18" s="6">
        <f>TravelExpenseTable[[#This Row],[Budget_USD]]-TravelExpenseTable[[#This Row],[Total_Actual_USD]]</f>
        <v>75.500000000000227</v>
      </c>
      <c r="AB18" s="13">
        <f>TravelExpenseTable[[#This Row],[Budget_Variance_USD]]/TravelExpenseTable[[#This Row],[Budget_USD]]</f>
        <v>3.9878937054663312E-2</v>
      </c>
      <c r="AC18" s="6" t="str">
        <f t="shared" si="3"/>
        <v>Within Budget</v>
      </c>
      <c r="AD18" s="41" t="s">
        <v>50</v>
      </c>
      <c r="AE18" s="41" t="s">
        <v>83</v>
      </c>
      <c r="AF18" s="41" t="s">
        <v>52</v>
      </c>
      <c r="AG18" s="41" t="s">
        <v>53</v>
      </c>
      <c r="AH18" s="41"/>
    </row>
    <row r="19" spans="1:34">
      <c r="A19" s="41" t="s">
        <v>131</v>
      </c>
      <c r="B19" s="41" t="s">
        <v>132</v>
      </c>
      <c r="C19" s="41" t="s">
        <v>56</v>
      </c>
      <c r="D19" s="41" t="s">
        <v>42</v>
      </c>
      <c r="E19" s="41" t="s">
        <v>43</v>
      </c>
      <c r="F19" s="41" t="s">
        <v>133</v>
      </c>
      <c r="G19" s="41" t="s">
        <v>45</v>
      </c>
      <c r="H19" s="41" t="s">
        <v>46</v>
      </c>
      <c r="I19" s="41" t="s">
        <v>81</v>
      </c>
      <c r="J19" s="4">
        <v>46174</v>
      </c>
      <c r="K19" s="4">
        <v>46196</v>
      </c>
      <c r="L19" s="4">
        <v>46197</v>
      </c>
      <c r="M19" s="17">
        <f t="shared" si="0"/>
        <v>46174</v>
      </c>
      <c r="N19" s="17" t="str">
        <f t="shared" si="1"/>
        <v>Jun</v>
      </c>
      <c r="O19" s="10">
        <f t="shared" si="2"/>
        <v>6</v>
      </c>
      <c r="P19" s="10">
        <f>TravelExpenseTable[[#This Row],[Departure_Date]]-TravelExpenseTable[[#This Row],[Booking_Date]]</f>
        <v>22</v>
      </c>
      <c r="Q19" s="10">
        <f>TravelExpenseTable[[#This Row],[Return_Date]]-TravelExpenseTable[[#This Row],[Departure_Date]]</f>
        <v>1</v>
      </c>
      <c r="R19" s="41" t="s">
        <v>98</v>
      </c>
      <c r="S19" s="41" t="s">
        <v>71</v>
      </c>
      <c r="T19" s="5">
        <v>378.52</v>
      </c>
      <c r="U19" s="5">
        <v>160.37</v>
      </c>
      <c r="V19" s="5">
        <v>118.58</v>
      </c>
      <c r="W19" s="5">
        <v>111.42</v>
      </c>
      <c r="X19" s="5">
        <v>121.92</v>
      </c>
      <c r="Y19" s="6">
        <f>SUM(TravelExpenseTable[[#This Row],[Airfare_USD]],,,TravelExpenseTable[[#This Row],[Hotel_USD]],TravelExpenseTable[[#This Row],[Ground_Transport_USD]],TravelExpenseTable[[#This Row],[Meals_USD]],TravelExpenseTable[[#This Row],[Other_Expenses_USD]])</f>
        <v>890.81</v>
      </c>
      <c r="Z19" s="5">
        <v>1025.18</v>
      </c>
      <c r="AA19" s="6">
        <f>TravelExpenseTable[[#This Row],[Budget_USD]]-TravelExpenseTable[[#This Row],[Total_Actual_USD]]</f>
        <v>134.37000000000012</v>
      </c>
      <c r="AB19" s="13">
        <f>TravelExpenseTable[[#This Row],[Budget_Variance_USD]]/TravelExpenseTable[[#This Row],[Budget_USD]]</f>
        <v>0.13106966581478385</v>
      </c>
      <c r="AC19" s="6" t="str">
        <f t="shared" si="3"/>
        <v>Within Budget</v>
      </c>
      <c r="AD19" s="41" t="s">
        <v>51</v>
      </c>
      <c r="AE19" s="41" t="s">
        <v>50</v>
      </c>
      <c r="AF19" s="41" t="s">
        <v>52</v>
      </c>
      <c r="AG19" s="41" t="s">
        <v>53</v>
      </c>
      <c r="AH19" s="41"/>
    </row>
    <row r="20" spans="1:34">
      <c r="A20" s="41" t="s">
        <v>134</v>
      </c>
      <c r="B20" s="41" t="s">
        <v>100</v>
      </c>
      <c r="C20" s="41" t="s">
        <v>41</v>
      </c>
      <c r="D20" s="41" t="s">
        <v>57</v>
      </c>
      <c r="E20" s="41" t="s">
        <v>43</v>
      </c>
      <c r="F20" s="41" t="s">
        <v>96</v>
      </c>
      <c r="G20" s="41" t="s">
        <v>45</v>
      </c>
      <c r="H20" s="41" t="s">
        <v>97</v>
      </c>
      <c r="I20" s="41" t="s">
        <v>60</v>
      </c>
      <c r="J20" s="4">
        <v>46088</v>
      </c>
      <c r="K20" s="4">
        <v>46104</v>
      </c>
      <c r="L20" s="4">
        <v>46107</v>
      </c>
      <c r="M20" s="17">
        <f t="shared" si="0"/>
        <v>46082</v>
      </c>
      <c r="N20" s="17" t="str">
        <f t="shared" si="1"/>
        <v>Mar</v>
      </c>
      <c r="O20" s="10">
        <f t="shared" si="2"/>
        <v>3</v>
      </c>
      <c r="P20" s="10">
        <f>TravelExpenseTable[[#This Row],[Departure_Date]]-TravelExpenseTable[[#This Row],[Booking_Date]]</f>
        <v>16</v>
      </c>
      <c r="Q20" s="10">
        <f>TravelExpenseTable[[#This Row],[Return_Date]]-TravelExpenseTable[[#This Row],[Departure_Date]]</f>
        <v>3</v>
      </c>
      <c r="R20" s="41" t="s">
        <v>48</v>
      </c>
      <c r="S20" s="41" t="s">
        <v>71</v>
      </c>
      <c r="T20" s="5">
        <v>462.03</v>
      </c>
      <c r="U20" s="5">
        <v>788.22</v>
      </c>
      <c r="V20" s="5">
        <v>127.81</v>
      </c>
      <c r="W20" s="5">
        <v>327.20999999999998</v>
      </c>
      <c r="X20" s="5">
        <v>143.28</v>
      </c>
      <c r="Y20" s="6">
        <f>SUM(TravelExpenseTable[[#This Row],[Airfare_USD]],,,TravelExpenseTable[[#This Row],[Hotel_USD]],TravelExpenseTable[[#This Row],[Ground_Transport_USD]],TravelExpenseTable[[#This Row],[Meals_USD]],TravelExpenseTable[[#This Row],[Other_Expenses_USD]])</f>
        <v>1848.55</v>
      </c>
      <c r="Z20" s="5">
        <v>1720.83</v>
      </c>
      <c r="AA20" s="6">
        <f>TravelExpenseTable[[#This Row],[Budget_USD]]-TravelExpenseTable[[#This Row],[Total_Actual_USD]]</f>
        <v>-127.72000000000003</v>
      </c>
      <c r="AB20" s="13">
        <f>TravelExpenseTable[[#This Row],[Budget_Variance_USD]]/TravelExpenseTable[[#This Row],[Budget_USD]]</f>
        <v>-7.4219998489101213E-2</v>
      </c>
      <c r="AC20" s="6" t="str">
        <f t="shared" si="3"/>
        <v>Over Budget</v>
      </c>
      <c r="AD20" s="41" t="s">
        <v>50</v>
      </c>
      <c r="AE20" s="41" t="s">
        <v>83</v>
      </c>
      <c r="AF20" s="41" t="s">
        <v>52</v>
      </c>
      <c r="AG20" s="41" t="s">
        <v>53</v>
      </c>
      <c r="AH20" s="41"/>
    </row>
    <row r="21" spans="1:34">
      <c r="A21" s="41" t="s">
        <v>135</v>
      </c>
      <c r="B21" s="41" t="s">
        <v>136</v>
      </c>
      <c r="C21" s="41" t="s">
        <v>66</v>
      </c>
      <c r="D21" s="41" t="s">
        <v>137</v>
      </c>
      <c r="E21" s="41" t="s">
        <v>43</v>
      </c>
      <c r="F21" s="41" t="s">
        <v>133</v>
      </c>
      <c r="G21" s="41" t="s">
        <v>45</v>
      </c>
      <c r="H21" s="41" t="s">
        <v>69</v>
      </c>
      <c r="I21" s="41" t="s">
        <v>81</v>
      </c>
      <c r="J21" s="4">
        <v>46028</v>
      </c>
      <c r="K21" s="4">
        <v>46050</v>
      </c>
      <c r="L21" s="4">
        <v>46052</v>
      </c>
      <c r="M21" s="17">
        <f t="shared" si="0"/>
        <v>46023</v>
      </c>
      <c r="N21" s="17" t="str">
        <f t="shared" si="1"/>
        <v>Jan</v>
      </c>
      <c r="O21" s="10">
        <f t="shared" si="2"/>
        <v>1</v>
      </c>
      <c r="P21" s="10">
        <f>TravelExpenseTable[[#This Row],[Departure_Date]]-TravelExpenseTable[[#This Row],[Booking_Date]]</f>
        <v>22</v>
      </c>
      <c r="Q21" s="10">
        <f>TravelExpenseTable[[#This Row],[Return_Date]]-TravelExpenseTable[[#This Row],[Departure_Date]]</f>
        <v>2</v>
      </c>
      <c r="R21" s="41" t="s">
        <v>70</v>
      </c>
      <c r="S21" s="41" t="s">
        <v>138</v>
      </c>
      <c r="T21" s="5">
        <v>349.56</v>
      </c>
      <c r="U21" s="5">
        <v>432.04</v>
      </c>
      <c r="V21" s="5">
        <v>193.7</v>
      </c>
      <c r="W21" s="5">
        <v>118.74</v>
      </c>
      <c r="X21" s="5">
        <v>74.599999999999994</v>
      </c>
      <c r="Y21" s="6">
        <f>SUM(TravelExpenseTable[[#This Row],[Airfare_USD]],,,TravelExpenseTable[[#This Row],[Hotel_USD]],TravelExpenseTable[[#This Row],[Ground_Transport_USD]],TravelExpenseTable[[#This Row],[Meals_USD]],TravelExpenseTable[[#This Row],[Other_Expenses_USD]])</f>
        <v>1168.6399999999999</v>
      </c>
      <c r="Z21" s="5">
        <v>1249.19</v>
      </c>
      <c r="AA21" s="6">
        <f>TravelExpenseTable[[#This Row],[Budget_USD]]-TravelExpenseTable[[#This Row],[Total_Actual_USD]]</f>
        <v>80.550000000000182</v>
      </c>
      <c r="AB21" s="13">
        <f>TravelExpenseTable[[#This Row],[Budget_Variance_USD]]/TravelExpenseTable[[#This Row],[Budget_USD]]</f>
        <v>6.4481784196159256E-2</v>
      </c>
      <c r="AC21" s="6" t="str">
        <f t="shared" si="3"/>
        <v>Within Budget</v>
      </c>
      <c r="AD21" s="41" t="s">
        <v>50</v>
      </c>
      <c r="AE21" s="41" t="s">
        <v>51</v>
      </c>
      <c r="AF21" s="41" t="s">
        <v>52</v>
      </c>
      <c r="AG21" s="41" t="s">
        <v>53</v>
      </c>
      <c r="AH21" s="41"/>
    </row>
    <row r="22" spans="1:34">
      <c r="A22" s="41" t="s">
        <v>139</v>
      </c>
      <c r="B22" s="41" t="s">
        <v>140</v>
      </c>
      <c r="C22" s="41" t="s">
        <v>95</v>
      </c>
      <c r="D22" s="41" t="s">
        <v>111</v>
      </c>
      <c r="E22" s="41" t="s">
        <v>43</v>
      </c>
      <c r="F22" s="41" t="s">
        <v>58</v>
      </c>
      <c r="G22" s="41" t="s">
        <v>59</v>
      </c>
      <c r="H22" s="41" t="s">
        <v>116</v>
      </c>
      <c r="I22" s="41" t="s">
        <v>81</v>
      </c>
      <c r="J22" s="4">
        <v>46045</v>
      </c>
      <c r="K22" s="4">
        <v>46089</v>
      </c>
      <c r="L22" s="4">
        <v>46093</v>
      </c>
      <c r="M22" s="17">
        <f t="shared" si="0"/>
        <v>46082</v>
      </c>
      <c r="N22" s="17" t="str">
        <f t="shared" si="1"/>
        <v>Mar</v>
      </c>
      <c r="O22" s="10">
        <f t="shared" si="2"/>
        <v>3</v>
      </c>
      <c r="P22" s="10">
        <f>TravelExpenseTable[[#This Row],[Departure_Date]]-TravelExpenseTable[[#This Row],[Booking_Date]]</f>
        <v>44</v>
      </c>
      <c r="Q22" s="10">
        <f>TravelExpenseTable[[#This Row],[Return_Date]]-TravelExpenseTable[[#This Row],[Departure_Date]]</f>
        <v>4</v>
      </c>
      <c r="R22" s="41" t="s">
        <v>102</v>
      </c>
      <c r="S22" s="41" t="s">
        <v>49</v>
      </c>
      <c r="T22" s="5">
        <v>1457.11</v>
      </c>
      <c r="U22" s="5">
        <v>1113.06</v>
      </c>
      <c r="V22" s="5">
        <v>209.35</v>
      </c>
      <c r="W22" s="5">
        <v>440.19</v>
      </c>
      <c r="X22" s="5">
        <v>21.84</v>
      </c>
      <c r="Y22" s="6">
        <f>SUM(TravelExpenseTable[[#This Row],[Airfare_USD]],,,TravelExpenseTable[[#This Row],[Hotel_USD]],TravelExpenseTable[[#This Row],[Ground_Transport_USD]],TravelExpenseTable[[#This Row],[Meals_USD]],TravelExpenseTable[[#This Row],[Other_Expenses_USD]])</f>
        <v>3241.55</v>
      </c>
      <c r="Z22" s="5">
        <v>2982.23</v>
      </c>
      <c r="AA22" s="6">
        <f>TravelExpenseTable[[#This Row],[Budget_USD]]-TravelExpenseTable[[#This Row],[Total_Actual_USD]]</f>
        <v>-259.32000000000016</v>
      </c>
      <c r="AB22" s="13">
        <f>TravelExpenseTable[[#This Row],[Budget_Variance_USD]]/TravelExpenseTable[[#This Row],[Budget_USD]]</f>
        <v>-8.6955063828075024E-2</v>
      </c>
      <c r="AC22" s="6" t="str">
        <f t="shared" si="3"/>
        <v>Over Budget</v>
      </c>
      <c r="AD22" s="41" t="s">
        <v>50</v>
      </c>
      <c r="AE22" s="41" t="s">
        <v>51</v>
      </c>
      <c r="AF22" s="41" t="s">
        <v>52</v>
      </c>
      <c r="AG22" s="41" t="s">
        <v>53</v>
      </c>
      <c r="AH22" s="41"/>
    </row>
    <row r="23" spans="1:34">
      <c r="A23" s="41" t="s">
        <v>141</v>
      </c>
      <c r="B23" s="41" t="s">
        <v>100</v>
      </c>
      <c r="C23" s="41" t="s">
        <v>41</v>
      </c>
      <c r="D23" s="41" t="s">
        <v>57</v>
      </c>
      <c r="E23" s="41" t="s">
        <v>43</v>
      </c>
      <c r="F23" s="41" t="s">
        <v>133</v>
      </c>
      <c r="G23" s="41" t="s">
        <v>45</v>
      </c>
      <c r="H23" s="41" t="s">
        <v>108</v>
      </c>
      <c r="I23" s="41" t="s">
        <v>60</v>
      </c>
      <c r="J23" s="4">
        <v>46102</v>
      </c>
      <c r="K23" s="4">
        <v>46140</v>
      </c>
      <c r="L23" s="4">
        <v>46144</v>
      </c>
      <c r="M23" s="17">
        <f t="shared" si="0"/>
        <v>46113</v>
      </c>
      <c r="N23" s="17" t="str">
        <f t="shared" si="1"/>
        <v>Apr</v>
      </c>
      <c r="O23" s="10">
        <f t="shared" si="2"/>
        <v>4</v>
      </c>
      <c r="P23" s="10">
        <f>TravelExpenseTable[[#This Row],[Departure_Date]]-TravelExpenseTable[[#This Row],[Booking_Date]]</f>
        <v>38</v>
      </c>
      <c r="Q23" s="10">
        <f>TravelExpenseTable[[#This Row],[Return_Date]]-TravelExpenseTable[[#This Row],[Departure_Date]]</f>
        <v>4</v>
      </c>
      <c r="R23" s="41" t="s">
        <v>70</v>
      </c>
      <c r="S23" s="41" t="s">
        <v>77</v>
      </c>
      <c r="T23" s="5">
        <v>596.36</v>
      </c>
      <c r="U23" s="5">
        <v>737.48</v>
      </c>
      <c r="V23" s="5">
        <v>181.09</v>
      </c>
      <c r="W23" s="5">
        <v>336.3</v>
      </c>
      <c r="X23" s="5">
        <v>43.06</v>
      </c>
      <c r="Y23" s="6">
        <f>SUM(TravelExpenseTable[[#This Row],[Airfare_USD]],,,TravelExpenseTable[[#This Row],[Hotel_USD]],TravelExpenseTable[[#This Row],[Ground_Transport_USD]],TravelExpenseTable[[#This Row],[Meals_USD]],TravelExpenseTable[[#This Row],[Other_Expenses_USD]])</f>
        <v>1894.29</v>
      </c>
      <c r="Z23" s="5">
        <v>1916.95</v>
      </c>
      <c r="AA23" s="6">
        <f>TravelExpenseTable[[#This Row],[Budget_USD]]-TravelExpenseTable[[#This Row],[Total_Actual_USD]]</f>
        <v>22.660000000000082</v>
      </c>
      <c r="AB23" s="13">
        <f>TravelExpenseTable[[#This Row],[Budget_Variance_USD]]/TravelExpenseTable[[#This Row],[Budget_USD]]</f>
        <v>1.1820861263987105E-2</v>
      </c>
      <c r="AC23" s="6" t="str">
        <f t="shared" si="3"/>
        <v>Within Budget</v>
      </c>
      <c r="AD23" s="41" t="s">
        <v>50</v>
      </c>
      <c r="AE23" s="41" t="s">
        <v>50</v>
      </c>
      <c r="AF23" s="41" t="s">
        <v>52</v>
      </c>
      <c r="AG23" s="41" t="s">
        <v>53</v>
      </c>
      <c r="AH23" s="41"/>
    </row>
    <row r="24" spans="1:34">
      <c r="A24" s="41" t="s">
        <v>142</v>
      </c>
      <c r="B24" s="41" t="s">
        <v>143</v>
      </c>
      <c r="C24" s="41" t="s">
        <v>66</v>
      </c>
      <c r="D24" s="41" t="s">
        <v>86</v>
      </c>
      <c r="E24" s="41" t="s">
        <v>43</v>
      </c>
      <c r="F24" s="41" t="s">
        <v>120</v>
      </c>
      <c r="G24" s="41" t="s">
        <v>59</v>
      </c>
      <c r="H24" s="41" t="s">
        <v>69</v>
      </c>
      <c r="I24" s="41" t="s">
        <v>60</v>
      </c>
      <c r="J24" s="4">
        <v>46035</v>
      </c>
      <c r="K24" s="4">
        <v>46047</v>
      </c>
      <c r="L24" s="4">
        <v>46051</v>
      </c>
      <c r="M24" s="17">
        <f t="shared" si="0"/>
        <v>46023</v>
      </c>
      <c r="N24" s="17" t="str">
        <f t="shared" si="1"/>
        <v>Jan</v>
      </c>
      <c r="O24" s="10">
        <f t="shared" si="2"/>
        <v>1</v>
      </c>
      <c r="P24" s="10">
        <f>TravelExpenseTable[[#This Row],[Departure_Date]]-TravelExpenseTable[[#This Row],[Booking_Date]]</f>
        <v>12</v>
      </c>
      <c r="Q24" s="10">
        <f>TravelExpenseTable[[#This Row],[Return_Date]]-TravelExpenseTable[[#This Row],[Departure_Date]]</f>
        <v>4</v>
      </c>
      <c r="R24" s="41" t="s">
        <v>144</v>
      </c>
      <c r="S24" s="41" t="s">
        <v>138</v>
      </c>
      <c r="T24" s="5">
        <v>770.65</v>
      </c>
      <c r="U24" s="5">
        <v>1069.78</v>
      </c>
      <c r="V24" s="5">
        <v>205.65</v>
      </c>
      <c r="W24" s="5">
        <v>319.79000000000002</v>
      </c>
      <c r="X24" s="5">
        <v>37.229999999999997</v>
      </c>
      <c r="Y24" s="6">
        <f>SUM(TravelExpenseTable[[#This Row],[Airfare_USD]],,,TravelExpenseTable[[#This Row],[Hotel_USD]],TravelExpenseTable[[#This Row],[Ground_Transport_USD]],TravelExpenseTable[[#This Row],[Meals_USD]],TravelExpenseTable[[#This Row],[Other_Expenses_USD]])</f>
        <v>2403.1</v>
      </c>
      <c r="Z24" s="5">
        <v>2417.62</v>
      </c>
      <c r="AA24" s="6">
        <f>TravelExpenseTable[[#This Row],[Budget_USD]]-TravelExpenseTable[[#This Row],[Total_Actual_USD]]</f>
        <v>14.519999999999982</v>
      </c>
      <c r="AB24" s="13">
        <f>TravelExpenseTable[[#This Row],[Budget_Variance_USD]]/TravelExpenseTable[[#This Row],[Budget_USD]]</f>
        <v>6.0059066354513869E-3</v>
      </c>
      <c r="AC24" s="6" t="str">
        <f t="shared" si="3"/>
        <v>Within Budget</v>
      </c>
      <c r="AD24" s="41" t="s">
        <v>51</v>
      </c>
      <c r="AE24" s="41" t="s">
        <v>51</v>
      </c>
      <c r="AF24" s="41" t="s">
        <v>52</v>
      </c>
      <c r="AG24" s="41" t="s">
        <v>53</v>
      </c>
      <c r="AH24" s="41"/>
    </row>
    <row r="25" spans="1:34">
      <c r="A25" s="41" t="s">
        <v>145</v>
      </c>
      <c r="B25" s="41" t="s">
        <v>73</v>
      </c>
      <c r="C25" s="41" t="s">
        <v>66</v>
      </c>
      <c r="D25" s="41" t="s">
        <v>67</v>
      </c>
      <c r="E25" s="41" t="s">
        <v>43</v>
      </c>
      <c r="F25" s="41" t="s">
        <v>58</v>
      </c>
      <c r="G25" s="41" t="s">
        <v>59</v>
      </c>
      <c r="H25" s="41" t="s">
        <v>46</v>
      </c>
      <c r="I25" s="41" t="s">
        <v>60</v>
      </c>
      <c r="J25" s="4">
        <v>46124</v>
      </c>
      <c r="K25" s="4">
        <v>46149</v>
      </c>
      <c r="L25" s="4">
        <v>46152</v>
      </c>
      <c r="M25" s="17">
        <f t="shared" si="0"/>
        <v>46143</v>
      </c>
      <c r="N25" s="17" t="str">
        <f t="shared" si="1"/>
        <v>May</v>
      </c>
      <c r="O25" s="10">
        <f t="shared" si="2"/>
        <v>5</v>
      </c>
      <c r="P25" s="10">
        <f>TravelExpenseTable[[#This Row],[Departure_Date]]-TravelExpenseTable[[#This Row],[Booking_Date]]</f>
        <v>25</v>
      </c>
      <c r="Q25" s="10">
        <f>TravelExpenseTable[[#This Row],[Return_Date]]-TravelExpenseTable[[#This Row],[Departure_Date]]</f>
        <v>3</v>
      </c>
      <c r="R25" s="41" t="s">
        <v>144</v>
      </c>
      <c r="S25" s="41" t="s">
        <v>49</v>
      </c>
      <c r="T25" s="5">
        <v>1508.1</v>
      </c>
      <c r="U25" s="5">
        <v>1025.92</v>
      </c>
      <c r="V25" s="5">
        <v>294.45</v>
      </c>
      <c r="W25" s="5">
        <v>252.88</v>
      </c>
      <c r="X25" s="5">
        <v>49.13</v>
      </c>
      <c r="Y25" s="6">
        <f>SUM(TravelExpenseTable[[#This Row],[Airfare_USD]],,,TravelExpenseTable[[#This Row],[Hotel_USD]],TravelExpenseTable[[#This Row],[Ground_Transport_USD]],TravelExpenseTable[[#This Row],[Meals_USD]],TravelExpenseTable[[#This Row],[Other_Expenses_USD]])</f>
        <v>3130.48</v>
      </c>
      <c r="Z25" s="5">
        <v>3210.91</v>
      </c>
      <c r="AA25" s="6">
        <f>TravelExpenseTable[[#This Row],[Budget_USD]]-TravelExpenseTable[[#This Row],[Total_Actual_USD]]</f>
        <v>80.429999999999836</v>
      </c>
      <c r="AB25" s="13">
        <f>TravelExpenseTable[[#This Row],[Budget_Variance_USD]]/TravelExpenseTable[[#This Row],[Budget_USD]]</f>
        <v>2.5048973655443424E-2</v>
      </c>
      <c r="AC25" s="6" t="str">
        <f t="shared" si="3"/>
        <v>Within Budget</v>
      </c>
      <c r="AD25" s="41" t="s">
        <v>50</v>
      </c>
      <c r="AE25" s="41" t="s">
        <v>83</v>
      </c>
      <c r="AF25" s="41" t="s">
        <v>52</v>
      </c>
      <c r="AG25" s="41" t="s">
        <v>53</v>
      </c>
      <c r="AH25" s="41"/>
    </row>
    <row r="26" spans="1:34">
      <c r="A26" s="41" t="s">
        <v>146</v>
      </c>
      <c r="B26" s="41" t="s">
        <v>147</v>
      </c>
      <c r="C26" s="41" t="s">
        <v>41</v>
      </c>
      <c r="D26" s="41" t="s">
        <v>137</v>
      </c>
      <c r="E26" s="41" t="s">
        <v>43</v>
      </c>
      <c r="F26" s="41" t="s">
        <v>125</v>
      </c>
      <c r="G26" s="41" t="s">
        <v>45</v>
      </c>
      <c r="H26" s="41" t="s">
        <v>116</v>
      </c>
      <c r="I26" s="41" t="s">
        <v>81</v>
      </c>
      <c r="J26" s="4">
        <v>46104</v>
      </c>
      <c r="K26" s="4">
        <v>46146</v>
      </c>
      <c r="L26" s="4">
        <v>46148</v>
      </c>
      <c r="M26" s="17">
        <f t="shared" si="0"/>
        <v>46143</v>
      </c>
      <c r="N26" s="17" t="str">
        <f t="shared" si="1"/>
        <v>May</v>
      </c>
      <c r="O26" s="10">
        <f t="shared" si="2"/>
        <v>5</v>
      </c>
      <c r="P26" s="10">
        <f>TravelExpenseTable[[#This Row],[Departure_Date]]-TravelExpenseTable[[#This Row],[Booking_Date]]</f>
        <v>42</v>
      </c>
      <c r="Q26" s="10">
        <f>TravelExpenseTable[[#This Row],[Return_Date]]-TravelExpenseTable[[#This Row],[Departure_Date]]</f>
        <v>2</v>
      </c>
      <c r="R26" s="41" t="s">
        <v>98</v>
      </c>
      <c r="S26" s="41" t="s">
        <v>62</v>
      </c>
      <c r="T26" s="5">
        <v>425.54</v>
      </c>
      <c r="U26" s="5">
        <v>512.69000000000005</v>
      </c>
      <c r="V26" s="5">
        <v>90.53</v>
      </c>
      <c r="W26" s="5">
        <v>149.28</v>
      </c>
      <c r="X26" s="5">
        <v>81.849999999999994</v>
      </c>
      <c r="Y26" s="6">
        <f>SUM(TravelExpenseTable[[#This Row],[Airfare_USD]],,,TravelExpenseTable[[#This Row],[Hotel_USD]],TravelExpenseTable[[#This Row],[Ground_Transport_USD]],TravelExpenseTable[[#This Row],[Meals_USD]],TravelExpenseTable[[#This Row],[Other_Expenses_USD]])</f>
        <v>1259.8899999999999</v>
      </c>
      <c r="Z26" s="5">
        <v>1236.27</v>
      </c>
      <c r="AA26" s="6">
        <f>TravelExpenseTable[[#This Row],[Budget_USD]]-TravelExpenseTable[[#This Row],[Total_Actual_USD]]</f>
        <v>-23.619999999999891</v>
      </c>
      <c r="AB26" s="13">
        <f>TravelExpenseTable[[#This Row],[Budget_Variance_USD]]/TravelExpenseTable[[#This Row],[Budget_USD]]</f>
        <v>-1.9105858752537789E-2</v>
      </c>
      <c r="AC26" s="6" t="str">
        <f t="shared" si="3"/>
        <v>Over Budget</v>
      </c>
      <c r="AD26" s="41" t="s">
        <v>50</v>
      </c>
      <c r="AE26" s="41" t="s">
        <v>83</v>
      </c>
      <c r="AF26" s="41" t="s">
        <v>52</v>
      </c>
      <c r="AG26" s="41" t="s">
        <v>53</v>
      </c>
      <c r="AH26" s="41"/>
    </row>
    <row r="27" spans="1:34">
      <c r="A27" s="55" t="s">
        <v>148</v>
      </c>
      <c r="B27" s="55" t="s">
        <v>149</v>
      </c>
      <c r="C27" s="55" t="s">
        <v>95</v>
      </c>
      <c r="D27" s="55" t="s">
        <v>86</v>
      </c>
      <c r="E27" s="55" t="s">
        <v>43</v>
      </c>
      <c r="F27" s="55" t="s">
        <v>87</v>
      </c>
      <c r="G27" s="55" t="s">
        <v>45</v>
      </c>
      <c r="H27" s="55" t="s">
        <v>116</v>
      </c>
      <c r="I27" s="55" t="s">
        <v>60</v>
      </c>
      <c r="J27" s="56">
        <v>46043</v>
      </c>
      <c r="K27" s="56">
        <v>46047</v>
      </c>
      <c r="L27" s="56">
        <v>46051</v>
      </c>
      <c r="M27" s="57">
        <f t="shared" si="0"/>
        <v>46023</v>
      </c>
      <c r="N27" s="57" t="str">
        <f t="shared" si="1"/>
        <v>Jan</v>
      </c>
      <c r="O27" s="58">
        <f t="shared" si="2"/>
        <v>1</v>
      </c>
      <c r="P27" s="58">
        <f>TravelExpenseTable[[#This Row],[Departure_Date]]-TravelExpenseTable[[#This Row],[Booking_Date]]</f>
        <v>4</v>
      </c>
      <c r="Q27" s="58">
        <f>TravelExpenseTable[[#This Row],[Return_Date]]-TravelExpenseTable[[#This Row],[Departure_Date]]</f>
        <v>4</v>
      </c>
      <c r="R27" s="55" t="s">
        <v>121</v>
      </c>
      <c r="S27" s="55" t="s">
        <v>91</v>
      </c>
      <c r="T27" s="59">
        <v>893.14</v>
      </c>
      <c r="U27" s="59">
        <v>1042.71</v>
      </c>
      <c r="V27" s="59">
        <v>211.18</v>
      </c>
      <c r="W27" s="59">
        <v>267.85000000000002</v>
      </c>
      <c r="X27" s="59">
        <v>3.67</v>
      </c>
      <c r="Y27" s="60">
        <f>SUM(TravelExpenseTable[[#This Row],[Airfare_USD]],,,TravelExpenseTable[[#This Row],[Hotel_USD]],TravelExpenseTable[[#This Row],[Ground_Transport_USD]],TravelExpenseTable[[#This Row],[Meals_USD]],TravelExpenseTable[[#This Row],[Other_Expenses_USD]])</f>
        <v>2418.5499999999997</v>
      </c>
      <c r="Z27" s="59">
        <v>2238.89</v>
      </c>
      <c r="AA27" s="60">
        <f>TravelExpenseTable[[#This Row],[Budget_USD]]-TravelExpenseTable[[#This Row],[Total_Actual_USD]]</f>
        <v>-179.65999999999985</v>
      </c>
      <c r="AB27" s="61">
        <f>TravelExpenseTable[[#This Row],[Budget_Variance_USD]]/TravelExpenseTable[[#This Row],[Budget_USD]]</f>
        <v>-8.0245121466440902E-2</v>
      </c>
      <c r="AC27" s="60" t="str">
        <f t="shared" si="3"/>
        <v>Over Budget</v>
      </c>
      <c r="AD27" s="55" t="s">
        <v>50</v>
      </c>
      <c r="AE27" s="55" t="s">
        <v>83</v>
      </c>
      <c r="AF27" s="55" t="s">
        <v>52</v>
      </c>
      <c r="AG27" s="55" t="s">
        <v>52</v>
      </c>
      <c r="AH27" s="55" t="s">
        <v>150</v>
      </c>
    </row>
    <row r="28" spans="1:34">
      <c r="A28" s="55" t="s">
        <v>151</v>
      </c>
      <c r="B28" s="55" t="s">
        <v>40</v>
      </c>
      <c r="C28" s="55" t="s">
        <v>41</v>
      </c>
      <c r="D28" s="55" t="s">
        <v>42</v>
      </c>
      <c r="E28" s="55" t="s">
        <v>43</v>
      </c>
      <c r="F28" s="55" t="s">
        <v>87</v>
      </c>
      <c r="G28" s="55" t="s">
        <v>45</v>
      </c>
      <c r="H28" s="55" t="s">
        <v>112</v>
      </c>
      <c r="I28" s="55" t="s">
        <v>81</v>
      </c>
      <c r="J28" s="56">
        <v>46080</v>
      </c>
      <c r="K28" s="56">
        <v>46121</v>
      </c>
      <c r="L28" s="56">
        <v>46123</v>
      </c>
      <c r="M28" s="57">
        <f t="shared" si="0"/>
        <v>46113</v>
      </c>
      <c r="N28" s="57" t="str">
        <f t="shared" si="1"/>
        <v>Apr</v>
      </c>
      <c r="O28" s="58">
        <f t="shared" si="2"/>
        <v>4</v>
      </c>
      <c r="P28" s="58">
        <f>TravelExpenseTable[[#This Row],[Departure_Date]]-TravelExpenseTable[[#This Row],[Booking_Date]]</f>
        <v>41</v>
      </c>
      <c r="Q28" s="58">
        <f>TravelExpenseTable[[#This Row],[Return_Date]]-TravelExpenseTable[[#This Row],[Departure_Date]]</f>
        <v>2</v>
      </c>
      <c r="R28" s="55" t="s">
        <v>70</v>
      </c>
      <c r="S28" s="55" t="s">
        <v>113</v>
      </c>
      <c r="T28" s="59">
        <v>197.95</v>
      </c>
      <c r="U28" s="59">
        <v>496.75</v>
      </c>
      <c r="V28" s="59">
        <v>212.68</v>
      </c>
      <c r="W28" s="59">
        <v>157.6</v>
      </c>
      <c r="X28" s="59">
        <v>128.69999999999999</v>
      </c>
      <c r="Y28" s="60">
        <f>SUM(TravelExpenseTable[[#This Row],[Airfare_USD]],,,TravelExpenseTable[[#This Row],[Hotel_USD]],TravelExpenseTable[[#This Row],[Ground_Transport_USD]],TravelExpenseTable[[#This Row],[Meals_USD]],TravelExpenseTable[[#This Row],[Other_Expenses_USD]])</f>
        <v>1193.68</v>
      </c>
      <c r="Z28" s="59">
        <v>1077.6500000000001</v>
      </c>
      <c r="AA28" s="60">
        <f>TravelExpenseTable[[#This Row],[Budget_USD]]-TravelExpenseTable[[#This Row],[Total_Actual_USD]]</f>
        <v>-116.02999999999997</v>
      </c>
      <c r="AB28" s="61">
        <f>TravelExpenseTable[[#This Row],[Budget_Variance_USD]]/TravelExpenseTable[[#This Row],[Budget_USD]]</f>
        <v>-0.10766946596761469</v>
      </c>
      <c r="AC28" s="60" t="str">
        <f t="shared" si="3"/>
        <v>Over Budget</v>
      </c>
      <c r="AD28" s="55" t="s">
        <v>50</v>
      </c>
      <c r="AE28" s="55" t="s">
        <v>92</v>
      </c>
      <c r="AF28" s="55" t="s">
        <v>52</v>
      </c>
      <c r="AG28" s="55" t="s">
        <v>52</v>
      </c>
      <c r="AH28" s="55" t="s">
        <v>117</v>
      </c>
    </row>
    <row r="29" spans="1:34">
      <c r="A29" s="41" t="s">
        <v>152</v>
      </c>
      <c r="B29" s="41" t="s">
        <v>73</v>
      </c>
      <c r="C29" s="41" t="s">
        <v>66</v>
      </c>
      <c r="D29" s="41" t="s">
        <v>67</v>
      </c>
      <c r="E29" s="41" t="s">
        <v>43</v>
      </c>
      <c r="F29" s="41" t="s">
        <v>90</v>
      </c>
      <c r="G29" s="41" t="s">
        <v>45</v>
      </c>
      <c r="H29" s="41" t="s">
        <v>126</v>
      </c>
      <c r="I29" s="41" t="s">
        <v>81</v>
      </c>
      <c r="J29" s="4">
        <v>46070</v>
      </c>
      <c r="K29" s="4">
        <v>46115</v>
      </c>
      <c r="L29" s="4">
        <v>46119</v>
      </c>
      <c r="M29" s="17">
        <f t="shared" si="0"/>
        <v>46113</v>
      </c>
      <c r="N29" s="17" t="str">
        <f t="shared" si="1"/>
        <v>Apr</v>
      </c>
      <c r="O29" s="10">
        <f t="shared" si="2"/>
        <v>4</v>
      </c>
      <c r="P29" s="10">
        <f>TravelExpenseTable[[#This Row],[Departure_Date]]-TravelExpenseTable[[#This Row],[Booking_Date]]</f>
        <v>45</v>
      </c>
      <c r="Q29" s="10">
        <f>TravelExpenseTable[[#This Row],[Return_Date]]-TravelExpenseTable[[#This Row],[Departure_Date]]</f>
        <v>4</v>
      </c>
      <c r="R29" s="41" t="s">
        <v>102</v>
      </c>
      <c r="S29" s="41" t="s">
        <v>71</v>
      </c>
      <c r="T29" s="5">
        <v>404.05</v>
      </c>
      <c r="U29" s="5">
        <v>837.45</v>
      </c>
      <c r="V29" s="5">
        <v>108.38</v>
      </c>
      <c r="W29" s="5">
        <v>433.98</v>
      </c>
      <c r="X29" s="5">
        <v>82.75</v>
      </c>
      <c r="Y29" s="6">
        <f>SUM(TravelExpenseTable[[#This Row],[Airfare_USD]],,,TravelExpenseTable[[#This Row],[Hotel_USD]],TravelExpenseTable[[#This Row],[Ground_Transport_USD]],TravelExpenseTable[[#This Row],[Meals_USD]],TravelExpenseTable[[#This Row],[Other_Expenses_USD]])</f>
        <v>1866.6100000000001</v>
      </c>
      <c r="Z29" s="5">
        <v>1728.29</v>
      </c>
      <c r="AA29" s="6">
        <f>TravelExpenseTable[[#This Row],[Budget_USD]]-TravelExpenseTable[[#This Row],[Total_Actual_USD]]</f>
        <v>-138.32000000000016</v>
      </c>
      <c r="AB29" s="13">
        <f>TravelExpenseTable[[#This Row],[Budget_Variance_USD]]/TravelExpenseTable[[#This Row],[Budget_USD]]</f>
        <v>-8.0032864854856625E-2</v>
      </c>
      <c r="AC29" s="6" t="str">
        <f t="shared" si="3"/>
        <v>Over Budget</v>
      </c>
      <c r="AD29" s="41" t="s">
        <v>50</v>
      </c>
      <c r="AE29" s="41" t="s">
        <v>51</v>
      </c>
      <c r="AF29" s="41" t="s">
        <v>52</v>
      </c>
      <c r="AG29" s="41" t="s">
        <v>53</v>
      </c>
      <c r="AH29" s="41"/>
    </row>
    <row r="30" spans="1:34">
      <c r="A30" s="55" t="s">
        <v>153</v>
      </c>
      <c r="B30" s="55" t="s">
        <v>154</v>
      </c>
      <c r="C30" s="55" t="s">
        <v>41</v>
      </c>
      <c r="D30" s="55" t="s">
        <v>42</v>
      </c>
      <c r="E30" s="55" t="s">
        <v>43</v>
      </c>
      <c r="F30" s="55" t="s">
        <v>120</v>
      </c>
      <c r="G30" s="55" t="s">
        <v>59</v>
      </c>
      <c r="H30" s="55" t="s">
        <v>46</v>
      </c>
      <c r="I30" s="55" t="s">
        <v>47</v>
      </c>
      <c r="J30" s="56">
        <v>46120</v>
      </c>
      <c r="K30" s="56">
        <v>46150</v>
      </c>
      <c r="L30" s="56">
        <v>46156</v>
      </c>
      <c r="M30" s="57">
        <f t="shared" si="0"/>
        <v>46143</v>
      </c>
      <c r="N30" s="57" t="str">
        <f t="shared" si="1"/>
        <v>May</v>
      </c>
      <c r="O30" s="58">
        <f t="shared" si="2"/>
        <v>5</v>
      </c>
      <c r="P30" s="58">
        <f>TravelExpenseTable[[#This Row],[Departure_Date]]-TravelExpenseTable[[#This Row],[Booking_Date]]</f>
        <v>30</v>
      </c>
      <c r="Q30" s="58">
        <f>TravelExpenseTable[[#This Row],[Return_Date]]-TravelExpenseTable[[#This Row],[Departure_Date]]</f>
        <v>6</v>
      </c>
      <c r="R30" s="55" t="s">
        <v>121</v>
      </c>
      <c r="S30" s="55" t="s">
        <v>91</v>
      </c>
      <c r="T30" s="59">
        <v>746.15</v>
      </c>
      <c r="U30" s="59">
        <v>1418</v>
      </c>
      <c r="V30" s="59">
        <v>186.18</v>
      </c>
      <c r="W30" s="59">
        <v>549.72</v>
      </c>
      <c r="X30" s="59">
        <v>68.22</v>
      </c>
      <c r="Y30" s="60">
        <f>SUM(TravelExpenseTable[[#This Row],[Airfare_USD]],,,TravelExpenseTable[[#This Row],[Hotel_USD]],TravelExpenseTable[[#This Row],[Ground_Transport_USD]],TravelExpenseTable[[#This Row],[Meals_USD]],TravelExpenseTable[[#This Row],[Other_Expenses_USD]])</f>
        <v>2968.27</v>
      </c>
      <c r="Z30" s="59">
        <v>2637.63</v>
      </c>
      <c r="AA30" s="60">
        <f>TravelExpenseTable[[#This Row],[Budget_USD]]-TravelExpenseTable[[#This Row],[Total_Actual_USD]]</f>
        <v>-330.63999999999987</v>
      </c>
      <c r="AB30" s="61">
        <f>TravelExpenseTable[[#This Row],[Budget_Variance_USD]]/TravelExpenseTable[[#This Row],[Budget_USD]]</f>
        <v>-0.12535495880771749</v>
      </c>
      <c r="AC30" s="60" t="str">
        <f t="shared" si="3"/>
        <v>Over Budget</v>
      </c>
      <c r="AD30" s="55" t="s">
        <v>50</v>
      </c>
      <c r="AE30" s="55" t="s">
        <v>50</v>
      </c>
      <c r="AF30" s="55" t="s">
        <v>52</v>
      </c>
      <c r="AG30" s="55" t="s">
        <v>52</v>
      </c>
      <c r="AH30" s="55" t="s">
        <v>117</v>
      </c>
    </row>
    <row r="31" spans="1:34">
      <c r="A31" s="41" t="s">
        <v>155</v>
      </c>
      <c r="B31" s="41" t="s">
        <v>132</v>
      </c>
      <c r="C31" s="41" t="s">
        <v>56</v>
      </c>
      <c r="D31" s="41" t="s">
        <v>42</v>
      </c>
      <c r="E31" s="41" t="s">
        <v>43</v>
      </c>
      <c r="F31" s="41" t="s">
        <v>87</v>
      </c>
      <c r="G31" s="41" t="s">
        <v>45</v>
      </c>
      <c r="H31" s="41" t="s">
        <v>116</v>
      </c>
      <c r="I31" s="41" t="s">
        <v>81</v>
      </c>
      <c r="J31" s="4">
        <v>46141</v>
      </c>
      <c r="K31" s="4">
        <v>46179</v>
      </c>
      <c r="L31" s="4">
        <v>46182</v>
      </c>
      <c r="M31" s="17">
        <f t="shared" si="0"/>
        <v>46174</v>
      </c>
      <c r="N31" s="17" t="str">
        <f t="shared" si="1"/>
        <v>Jun</v>
      </c>
      <c r="O31" s="10">
        <f t="shared" si="2"/>
        <v>6</v>
      </c>
      <c r="P31" s="10">
        <f>TravelExpenseTable[[#This Row],[Departure_Date]]-TravelExpenseTable[[#This Row],[Booking_Date]]</f>
        <v>38</v>
      </c>
      <c r="Q31" s="10">
        <f>TravelExpenseTable[[#This Row],[Return_Date]]-TravelExpenseTable[[#This Row],[Departure_Date]]</f>
        <v>3</v>
      </c>
      <c r="R31" s="41" t="s">
        <v>48</v>
      </c>
      <c r="S31" s="41" t="s">
        <v>91</v>
      </c>
      <c r="T31" s="5">
        <v>557.69000000000005</v>
      </c>
      <c r="U31" s="5">
        <v>783.92</v>
      </c>
      <c r="V31" s="5">
        <v>165.86</v>
      </c>
      <c r="W31" s="5">
        <v>281.26</v>
      </c>
      <c r="X31" s="5">
        <v>88.35</v>
      </c>
      <c r="Y31" s="6">
        <f>SUM(TravelExpenseTable[[#This Row],[Airfare_USD]],,,TravelExpenseTable[[#This Row],[Hotel_USD]],TravelExpenseTable[[#This Row],[Ground_Transport_USD]],TravelExpenseTable[[#This Row],[Meals_USD]],TravelExpenseTable[[#This Row],[Other_Expenses_USD]])</f>
        <v>1877.0800000000002</v>
      </c>
      <c r="Z31" s="5">
        <v>2098.35</v>
      </c>
      <c r="AA31" s="6">
        <f>TravelExpenseTable[[#This Row],[Budget_USD]]-TravelExpenseTable[[#This Row],[Total_Actual_USD]]</f>
        <v>221.26999999999975</v>
      </c>
      <c r="AB31" s="13">
        <f>TravelExpenseTable[[#This Row],[Budget_Variance_USD]]/TravelExpenseTable[[#This Row],[Budget_USD]]</f>
        <v>0.10544951986084293</v>
      </c>
      <c r="AC31" s="6" t="str">
        <f t="shared" si="3"/>
        <v>Within Budget</v>
      </c>
      <c r="AD31" s="41" t="s">
        <v>50</v>
      </c>
      <c r="AE31" s="41" t="s">
        <v>83</v>
      </c>
      <c r="AF31" s="41" t="s">
        <v>52</v>
      </c>
      <c r="AG31" s="41" t="s">
        <v>53</v>
      </c>
      <c r="AH31" s="41"/>
    </row>
    <row r="32" spans="1:34">
      <c r="A32" s="41" t="s">
        <v>156</v>
      </c>
      <c r="B32" s="41" t="s">
        <v>85</v>
      </c>
      <c r="C32" s="41" t="s">
        <v>41</v>
      </c>
      <c r="D32" s="41" t="s">
        <v>86</v>
      </c>
      <c r="E32" s="41" t="s">
        <v>43</v>
      </c>
      <c r="F32" s="41" t="s">
        <v>157</v>
      </c>
      <c r="G32" s="41" t="s">
        <v>45</v>
      </c>
      <c r="H32" s="41" t="s">
        <v>126</v>
      </c>
      <c r="I32" s="41" t="s">
        <v>81</v>
      </c>
      <c r="J32" s="4">
        <v>46163</v>
      </c>
      <c r="K32" s="4">
        <v>46196</v>
      </c>
      <c r="L32" s="4">
        <v>46199</v>
      </c>
      <c r="M32" s="17">
        <f t="shared" si="0"/>
        <v>46174</v>
      </c>
      <c r="N32" s="17" t="str">
        <f t="shared" si="1"/>
        <v>Jun</v>
      </c>
      <c r="O32" s="10">
        <f t="shared" si="2"/>
        <v>6</v>
      </c>
      <c r="P32" s="10">
        <f>TravelExpenseTable[[#This Row],[Departure_Date]]-TravelExpenseTable[[#This Row],[Booking_Date]]</f>
        <v>33</v>
      </c>
      <c r="Q32" s="10">
        <f>TravelExpenseTable[[#This Row],[Return_Date]]-TravelExpenseTable[[#This Row],[Departure_Date]]</f>
        <v>3</v>
      </c>
      <c r="R32" s="41" t="s">
        <v>98</v>
      </c>
      <c r="S32" s="41" t="s">
        <v>71</v>
      </c>
      <c r="T32" s="5">
        <v>548.71</v>
      </c>
      <c r="U32" s="5">
        <v>766.22</v>
      </c>
      <c r="V32" s="5">
        <v>100.22</v>
      </c>
      <c r="W32" s="5">
        <v>298.72000000000003</v>
      </c>
      <c r="X32" s="5">
        <v>171.16</v>
      </c>
      <c r="Y32" s="6">
        <f>SUM(TravelExpenseTable[[#This Row],[Airfare_USD]],,,TravelExpenseTable[[#This Row],[Hotel_USD]],TravelExpenseTable[[#This Row],[Ground_Transport_USD]],TravelExpenseTable[[#This Row],[Meals_USD]],TravelExpenseTable[[#This Row],[Other_Expenses_USD]])</f>
        <v>1885.0300000000002</v>
      </c>
      <c r="Z32" s="5">
        <v>2049.12</v>
      </c>
      <c r="AA32" s="6">
        <f>TravelExpenseTable[[#This Row],[Budget_USD]]-TravelExpenseTable[[#This Row],[Total_Actual_USD]]</f>
        <v>164.08999999999969</v>
      </c>
      <c r="AB32" s="13">
        <f>TravelExpenseTable[[#This Row],[Budget_Variance_USD]]/TravelExpenseTable[[#This Row],[Budget_USD]]</f>
        <v>8.0078277504489592E-2</v>
      </c>
      <c r="AC32" s="6" t="str">
        <f t="shared" si="3"/>
        <v>Within Budget</v>
      </c>
      <c r="AD32" s="41" t="s">
        <v>50</v>
      </c>
      <c r="AE32" s="41" t="s">
        <v>50</v>
      </c>
      <c r="AF32" s="41" t="s">
        <v>52</v>
      </c>
      <c r="AG32" s="41" t="s">
        <v>53</v>
      </c>
      <c r="AH32" s="41"/>
    </row>
    <row r="33" spans="1:34">
      <c r="A33" s="55" t="s">
        <v>158</v>
      </c>
      <c r="B33" s="55" t="s">
        <v>154</v>
      </c>
      <c r="C33" s="55" t="s">
        <v>41</v>
      </c>
      <c r="D33" s="55" t="s">
        <v>42</v>
      </c>
      <c r="E33" s="55" t="s">
        <v>43</v>
      </c>
      <c r="F33" s="55" t="s">
        <v>159</v>
      </c>
      <c r="G33" s="55" t="s">
        <v>59</v>
      </c>
      <c r="H33" s="55" t="s">
        <v>69</v>
      </c>
      <c r="I33" s="55" t="s">
        <v>81</v>
      </c>
      <c r="J33" s="56">
        <v>46170</v>
      </c>
      <c r="K33" s="56">
        <v>46179</v>
      </c>
      <c r="L33" s="56">
        <v>46184</v>
      </c>
      <c r="M33" s="57">
        <f t="shared" si="0"/>
        <v>46174</v>
      </c>
      <c r="N33" s="57" t="str">
        <f t="shared" si="1"/>
        <v>Jun</v>
      </c>
      <c r="O33" s="58">
        <f t="shared" si="2"/>
        <v>6</v>
      </c>
      <c r="P33" s="58">
        <f>TravelExpenseTable[[#This Row],[Departure_Date]]-TravelExpenseTable[[#This Row],[Booking_Date]]</f>
        <v>9</v>
      </c>
      <c r="Q33" s="58">
        <f>TravelExpenseTable[[#This Row],[Return_Date]]-TravelExpenseTable[[#This Row],[Departure_Date]]</f>
        <v>5</v>
      </c>
      <c r="R33" s="55" t="s">
        <v>121</v>
      </c>
      <c r="S33" s="55" t="s">
        <v>91</v>
      </c>
      <c r="T33" s="59">
        <v>1032.49</v>
      </c>
      <c r="U33" s="59">
        <v>1622.62</v>
      </c>
      <c r="V33" s="59">
        <v>101.65</v>
      </c>
      <c r="W33" s="59">
        <v>288.64999999999998</v>
      </c>
      <c r="X33" s="59">
        <v>9.81</v>
      </c>
      <c r="Y33" s="60">
        <f>SUM(TravelExpenseTable[[#This Row],[Airfare_USD]],,,TravelExpenseTable[[#This Row],[Hotel_USD]],TravelExpenseTable[[#This Row],[Ground_Transport_USD]],TravelExpenseTable[[#This Row],[Meals_USD]],TravelExpenseTable[[#This Row],[Other_Expenses_USD]])</f>
        <v>3055.22</v>
      </c>
      <c r="Z33" s="59">
        <v>2956.36</v>
      </c>
      <c r="AA33" s="60">
        <f>TravelExpenseTable[[#This Row],[Budget_USD]]-TravelExpenseTable[[#This Row],[Total_Actual_USD]]</f>
        <v>-98.859999999999673</v>
      </c>
      <c r="AB33" s="61">
        <f>TravelExpenseTable[[#This Row],[Budget_Variance_USD]]/TravelExpenseTable[[#This Row],[Budget_USD]]</f>
        <v>-3.3439770528622924E-2</v>
      </c>
      <c r="AC33" s="60" t="str">
        <f t="shared" si="3"/>
        <v>Over Budget</v>
      </c>
      <c r="AD33" s="55" t="s">
        <v>50</v>
      </c>
      <c r="AE33" s="55" t="s">
        <v>51</v>
      </c>
      <c r="AF33" s="55" t="s">
        <v>53</v>
      </c>
      <c r="AG33" s="55" t="s">
        <v>52</v>
      </c>
      <c r="AH33" s="55" t="s">
        <v>63</v>
      </c>
    </row>
    <row r="34" spans="1:34">
      <c r="A34" s="55" t="s">
        <v>160</v>
      </c>
      <c r="B34" s="55" t="s">
        <v>73</v>
      </c>
      <c r="C34" s="55" t="s">
        <v>66</v>
      </c>
      <c r="D34" s="55" t="s">
        <v>67</v>
      </c>
      <c r="E34" s="55" t="s">
        <v>43</v>
      </c>
      <c r="F34" s="55" t="s">
        <v>157</v>
      </c>
      <c r="G34" s="55" t="s">
        <v>45</v>
      </c>
      <c r="H34" s="55" t="s">
        <v>126</v>
      </c>
      <c r="I34" s="55" t="s">
        <v>81</v>
      </c>
      <c r="J34" s="56">
        <v>46116</v>
      </c>
      <c r="K34" s="56">
        <v>46147</v>
      </c>
      <c r="L34" s="56">
        <v>46151</v>
      </c>
      <c r="M34" s="57">
        <f t="shared" si="0"/>
        <v>46143</v>
      </c>
      <c r="N34" s="57" t="str">
        <f t="shared" ref="N34:N65" si="4">TEXT(K34,"mmm")</f>
        <v>May</v>
      </c>
      <c r="O34" s="58">
        <f t="shared" ref="O34:O65" si="5">MONTH(K34)</f>
        <v>5</v>
      </c>
      <c r="P34" s="58">
        <f>TravelExpenseTable[[#This Row],[Departure_Date]]-TravelExpenseTable[[#This Row],[Booking_Date]]</f>
        <v>31</v>
      </c>
      <c r="Q34" s="58">
        <f>TravelExpenseTable[[#This Row],[Return_Date]]-TravelExpenseTable[[#This Row],[Departure_Date]]</f>
        <v>4</v>
      </c>
      <c r="R34" s="55" t="s">
        <v>70</v>
      </c>
      <c r="S34" s="55" t="s">
        <v>62</v>
      </c>
      <c r="T34" s="59">
        <v>716.07</v>
      </c>
      <c r="U34" s="59">
        <v>874.72</v>
      </c>
      <c r="V34" s="59">
        <v>145.97999999999999</v>
      </c>
      <c r="W34" s="59">
        <v>384.75</v>
      </c>
      <c r="X34" s="59">
        <v>27.31</v>
      </c>
      <c r="Y34" s="60">
        <f>SUM(TravelExpenseTable[[#This Row],[Airfare_USD]],,,TravelExpenseTable[[#This Row],[Hotel_USD]],TravelExpenseTable[[#This Row],[Ground_Transport_USD]],TravelExpenseTable[[#This Row],[Meals_USD]],TravelExpenseTable[[#This Row],[Other_Expenses_USD]])</f>
        <v>2148.83</v>
      </c>
      <c r="Z34" s="59">
        <v>2413.87</v>
      </c>
      <c r="AA34" s="60">
        <f>TravelExpenseTable[[#This Row],[Budget_USD]]-TravelExpenseTable[[#This Row],[Total_Actual_USD]]</f>
        <v>265.03999999999996</v>
      </c>
      <c r="AB34" s="61">
        <f>TravelExpenseTable[[#This Row],[Budget_Variance_USD]]/TravelExpenseTable[[#This Row],[Budget_USD]]</f>
        <v>0.10979878783861599</v>
      </c>
      <c r="AC34" s="60" t="str">
        <f t="shared" ref="AC34:AC65" si="6">IF(AA34&gt;=0,"Within Budget","Over Budget")</f>
        <v>Within Budget</v>
      </c>
      <c r="AD34" s="55" t="s">
        <v>50</v>
      </c>
      <c r="AE34" s="55" t="s">
        <v>92</v>
      </c>
      <c r="AF34" s="55" t="s">
        <v>53</v>
      </c>
      <c r="AG34" s="55" t="s">
        <v>52</v>
      </c>
      <c r="AH34" s="55" t="s">
        <v>63</v>
      </c>
    </row>
    <row r="35" spans="1:34">
      <c r="A35" s="41" t="s">
        <v>161</v>
      </c>
      <c r="B35" s="41" t="s">
        <v>162</v>
      </c>
      <c r="C35" s="41" t="s">
        <v>95</v>
      </c>
      <c r="D35" s="41" t="s">
        <v>86</v>
      </c>
      <c r="E35" s="41" t="s">
        <v>43</v>
      </c>
      <c r="F35" s="41" t="s">
        <v>104</v>
      </c>
      <c r="G35" s="41" t="s">
        <v>45</v>
      </c>
      <c r="H35" s="41" t="s">
        <v>108</v>
      </c>
      <c r="I35" s="41" t="s">
        <v>81</v>
      </c>
      <c r="J35" s="4">
        <v>46129</v>
      </c>
      <c r="K35" s="4">
        <v>46160</v>
      </c>
      <c r="L35" s="4">
        <v>46164</v>
      </c>
      <c r="M35" s="17">
        <f t="shared" si="0"/>
        <v>46143</v>
      </c>
      <c r="N35" s="17" t="str">
        <f t="shared" si="4"/>
        <v>May</v>
      </c>
      <c r="O35" s="10">
        <f t="shared" si="5"/>
        <v>5</v>
      </c>
      <c r="P35" s="10">
        <f>TravelExpenseTable[[#This Row],[Departure_Date]]-TravelExpenseTable[[#This Row],[Booking_Date]]</f>
        <v>31</v>
      </c>
      <c r="Q35" s="10">
        <f>TravelExpenseTable[[#This Row],[Return_Date]]-TravelExpenseTable[[#This Row],[Departure_Date]]</f>
        <v>4</v>
      </c>
      <c r="R35" s="41" t="s">
        <v>121</v>
      </c>
      <c r="S35" s="41" t="s">
        <v>49</v>
      </c>
      <c r="T35" s="5">
        <v>513.77</v>
      </c>
      <c r="U35" s="5">
        <v>1472.07</v>
      </c>
      <c r="V35" s="5">
        <v>210.83</v>
      </c>
      <c r="W35" s="5">
        <v>269.87</v>
      </c>
      <c r="X35" s="5">
        <v>37.979999999999997</v>
      </c>
      <c r="Y35" s="6">
        <f>SUM(TravelExpenseTable[[#This Row],[Airfare_USD]],,,TravelExpenseTable[[#This Row],[Hotel_USD]],TravelExpenseTable[[#This Row],[Ground_Transport_USD]],TravelExpenseTable[[#This Row],[Meals_USD]],TravelExpenseTable[[#This Row],[Other_Expenses_USD]])</f>
        <v>2504.52</v>
      </c>
      <c r="Z35" s="5">
        <v>2700.19</v>
      </c>
      <c r="AA35" s="6">
        <f>TravelExpenseTable[[#This Row],[Budget_USD]]-TravelExpenseTable[[#This Row],[Total_Actual_USD]]</f>
        <v>195.67000000000007</v>
      </c>
      <c r="AB35" s="13">
        <f>TravelExpenseTable[[#This Row],[Budget_Variance_USD]]/TravelExpenseTable[[#This Row],[Budget_USD]]</f>
        <v>7.2465270962413786E-2</v>
      </c>
      <c r="AC35" s="6" t="str">
        <f t="shared" si="6"/>
        <v>Within Budget</v>
      </c>
      <c r="AD35" s="41" t="s">
        <v>50</v>
      </c>
      <c r="AE35" s="41" t="s">
        <v>50</v>
      </c>
      <c r="AF35" s="41" t="s">
        <v>52</v>
      </c>
      <c r="AG35" s="41" t="s">
        <v>53</v>
      </c>
      <c r="AH35" s="41"/>
    </row>
    <row r="36" spans="1:34">
      <c r="A36" s="41" t="s">
        <v>163</v>
      </c>
      <c r="B36" s="41" t="s">
        <v>55</v>
      </c>
      <c r="C36" s="41" t="s">
        <v>56</v>
      </c>
      <c r="D36" s="41" t="s">
        <v>57</v>
      </c>
      <c r="E36" s="41" t="s">
        <v>43</v>
      </c>
      <c r="F36" s="41" t="s">
        <v>125</v>
      </c>
      <c r="G36" s="41" t="s">
        <v>45</v>
      </c>
      <c r="H36" s="41" t="s">
        <v>108</v>
      </c>
      <c r="I36" s="41" t="s">
        <v>81</v>
      </c>
      <c r="J36" s="4">
        <v>45996</v>
      </c>
      <c r="K36" s="4">
        <v>46027</v>
      </c>
      <c r="L36" s="4">
        <v>46031</v>
      </c>
      <c r="M36" s="17">
        <f t="shared" si="0"/>
        <v>46023</v>
      </c>
      <c r="N36" s="17" t="str">
        <f t="shared" si="4"/>
        <v>Jan</v>
      </c>
      <c r="O36" s="10">
        <f t="shared" si="5"/>
        <v>1</v>
      </c>
      <c r="P36" s="10">
        <f>TravelExpenseTable[[#This Row],[Departure_Date]]-TravelExpenseTable[[#This Row],[Booking_Date]]</f>
        <v>31</v>
      </c>
      <c r="Q36" s="10">
        <f>TravelExpenseTable[[#This Row],[Return_Date]]-TravelExpenseTable[[#This Row],[Departure_Date]]</f>
        <v>4</v>
      </c>
      <c r="R36" s="41" t="s">
        <v>121</v>
      </c>
      <c r="S36" s="41" t="s">
        <v>62</v>
      </c>
      <c r="T36" s="5">
        <v>564.11</v>
      </c>
      <c r="U36" s="5">
        <v>1243.23</v>
      </c>
      <c r="V36" s="5">
        <v>165.29</v>
      </c>
      <c r="W36" s="5">
        <v>441.74</v>
      </c>
      <c r="X36" s="5">
        <v>141.81</v>
      </c>
      <c r="Y36" s="6">
        <f>SUM(TravelExpenseTable[[#This Row],[Airfare_USD]],,,TravelExpenseTable[[#This Row],[Hotel_USD]],TravelExpenseTable[[#This Row],[Ground_Transport_USD]],TravelExpenseTable[[#This Row],[Meals_USD]],TravelExpenseTable[[#This Row],[Other_Expenses_USD]])</f>
        <v>2556.1799999999998</v>
      </c>
      <c r="Z36" s="5">
        <v>2728.77</v>
      </c>
      <c r="AA36" s="6">
        <f>TravelExpenseTable[[#This Row],[Budget_USD]]-TravelExpenseTable[[#This Row],[Total_Actual_USD]]</f>
        <v>172.59000000000015</v>
      </c>
      <c r="AB36" s="13">
        <f>TravelExpenseTable[[#This Row],[Budget_Variance_USD]]/TravelExpenseTable[[#This Row],[Budget_USD]]</f>
        <v>6.3248276696093897E-2</v>
      </c>
      <c r="AC36" s="6" t="str">
        <f t="shared" si="6"/>
        <v>Within Budget</v>
      </c>
      <c r="AD36" s="41" t="s">
        <v>50</v>
      </c>
      <c r="AE36" s="41" t="s">
        <v>83</v>
      </c>
      <c r="AF36" s="41" t="s">
        <v>52</v>
      </c>
      <c r="AG36" s="41" t="s">
        <v>53</v>
      </c>
      <c r="AH36" s="41"/>
    </row>
    <row r="37" spans="1:34">
      <c r="A37" s="41" t="s">
        <v>164</v>
      </c>
      <c r="B37" s="41" t="s">
        <v>128</v>
      </c>
      <c r="C37" s="41" t="s">
        <v>95</v>
      </c>
      <c r="D37" s="41" t="s">
        <v>67</v>
      </c>
      <c r="E37" s="41" t="s">
        <v>43</v>
      </c>
      <c r="F37" s="41" t="s">
        <v>44</v>
      </c>
      <c r="G37" s="41" t="s">
        <v>45</v>
      </c>
      <c r="H37" s="41" t="s">
        <v>116</v>
      </c>
      <c r="I37" s="41" t="s">
        <v>60</v>
      </c>
      <c r="J37" s="4">
        <v>46088</v>
      </c>
      <c r="K37" s="4">
        <v>46095</v>
      </c>
      <c r="L37" s="4">
        <v>46097</v>
      </c>
      <c r="M37" s="17">
        <f t="shared" si="0"/>
        <v>46082</v>
      </c>
      <c r="N37" s="17" t="str">
        <f t="shared" si="4"/>
        <v>Mar</v>
      </c>
      <c r="O37" s="10">
        <f t="shared" si="5"/>
        <v>3</v>
      </c>
      <c r="P37" s="10">
        <f>TravelExpenseTable[[#This Row],[Departure_Date]]-TravelExpenseTable[[#This Row],[Booking_Date]]</f>
        <v>7</v>
      </c>
      <c r="Q37" s="10">
        <f>TravelExpenseTable[[#This Row],[Return_Date]]-TravelExpenseTable[[#This Row],[Departure_Date]]</f>
        <v>2</v>
      </c>
      <c r="R37" s="41" t="s">
        <v>70</v>
      </c>
      <c r="S37" s="41" t="s">
        <v>113</v>
      </c>
      <c r="T37" s="5">
        <v>919.57</v>
      </c>
      <c r="U37" s="5">
        <v>615.66</v>
      </c>
      <c r="V37" s="5">
        <v>127.02</v>
      </c>
      <c r="W37" s="5">
        <v>146.49</v>
      </c>
      <c r="X37" s="5">
        <v>72.45</v>
      </c>
      <c r="Y37" s="6">
        <f>SUM(TravelExpenseTable[[#This Row],[Airfare_USD]],,,TravelExpenseTable[[#This Row],[Hotel_USD]],TravelExpenseTable[[#This Row],[Ground_Transport_USD]],TravelExpenseTable[[#This Row],[Meals_USD]],TravelExpenseTable[[#This Row],[Other_Expenses_USD]])</f>
        <v>1881.19</v>
      </c>
      <c r="Z37" s="5">
        <v>1809.09</v>
      </c>
      <c r="AA37" s="6">
        <f>TravelExpenseTable[[#This Row],[Budget_USD]]-TravelExpenseTable[[#This Row],[Total_Actual_USD]]</f>
        <v>-72.100000000000136</v>
      </c>
      <c r="AB37" s="13">
        <f>TravelExpenseTable[[#This Row],[Budget_Variance_USD]]/TravelExpenseTable[[#This Row],[Budget_USD]]</f>
        <v>-3.9854291384066098E-2</v>
      </c>
      <c r="AC37" s="6" t="str">
        <f t="shared" si="6"/>
        <v>Over Budget</v>
      </c>
      <c r="AD37" s="41" t="s">
        <v>51</v>
      </c>
      <c r="AE37" s="41" t="s">
        <v>83</v>
      </c>
      <c r="AF37" s="41" t="s">
        <v>52</v>
      </c>
      <c r="AG37" s="41" t="s">
        <v>53</v>
      </c>
      <c r="AH37" s="41"/>
    </row>
    <row r="38" spans="1:34">
      <c r="A38" s="41" t="s">
        <v>165</v>
      </c>
      <c r="B38" s="41" t="s">
        <v>162</v>
      </c>
      <c r="C38" s="41" t="s">
        <v>95</v>
      </c>
      <c r="D38" s="41" t="s">
        <v>86</v>
      </c>
      <c r="E38" s="41" t="s">
        <v>43</v>
      </c>
      <c r="F38" s="41" t="s">
        <v>90</v>
      </c>
      <c r="G38" s="41" t="s">
        <v>45</v>
      </c>
      <c r="H38" s="41" t="s">
        <v>46</v>
      </c>
      <c r="I38" s="41" t="s">
        <v>81</v>
      </c>
      <c r="J38" s="4">
        <v>46096</v>
      </c>
      <c r="K38" s="4">
        <v>46137</v>
      </c>
      <c r="L38" s="4">
        <v>46140</v>
      </c>
      <c r="M38" s="17">
        <f t="shared" si="0"/>
        <v>46113</v>
      </c>
      <c r="N38" s="17" t="str">
        <f t="shared" si="4"/>
        <v>Apr</v>
      </c>
      <c r="O38" s="10">
        <f t="shared" si="5"/>
        <v>4</v>
      </c>
      <c r="P38" s="10">
        <f>TravelExpenseTable[[#This Row],[Departure_Date]]-TravelExpenseTable[[#This Row],[Booking_Date]]</f>
        <v>41</v>
      </c>
      <c r="Q38" s="10">
        <f>TravelExpenseTable[[#This Row],[Return_Date]]-TravelExpenseTable[[#This Row],[Departure_Date]]</f>
        <v>3</v>
      </c>
      <c r="R38" s="41" t="s">
        <v>102</v>
      </c>
      <c r="S38" s="41" t="s">
        <v>82</v>
      </c>
      <c r="T38" s="5">
        <v>556.34</v>
      </c>
      <c r="U38" s="5">
        <v>701.82</v>
      </c>
      <c r="V38" s="5">
        <v>48.63</v>
      </c>
      <c r="W38" s="5">
        <v>302.66000000000003</v>
      </c>
      <c r="X38" s="5">
        <v>147.86000000000001</v>
      </c>
      <c r="Y38" s="6">
        <f>SUM(TravelExpenseTable[[#This Row],[Airfare_USD]],,,TravelExpenseTable[[#This Row],[Hotel_USD]],TravelExpenseTable[[#This Row],[Ground_Transport_USD]],TravelExpenseTable[[#This Row],[Meals_USD]],TravelExpenseTable[[#This Row],[Other_Expenses_USD]])</f>
        <v>1757.3100000000004</v>
      </c>
      <c r="Z38" s="5">
        <v>1850.23</v>
      </c>
      <c r="AA38" s="6">
        <f>TravelExpenseTable[[#This Row],[Budget_USD]]-TravelExpenseTable[[#This Row],[Total_Actual_USD]]</f>
        <v>92.919999999999618</v>
      </c>
      <c r="AB38" s="13">
        <f>TravelExpenseTable[[#This Row],[Budget_Variance_USD]]/TravelExpenseTable[[#This Row],[Budget_USD]]</f>
        <v>5.022078336206829E-2</v>
      </c>
      <c r="AC38" s="6" t="str">
        <f t="shared" si="6"/>
        <v>Within Budget</v>
      </c>
      <c r="AD38" s="41" t="s">
        <v>50</v>
      </c>
      <c r="AE38" s="41" t="s">
        <v>83</v>
      </c>
      <c r="AF38" s="41" t="s">
        <v>52</v>
      </c>
      <c r="AG38" s="41" t="s">
        <v>53</v>
      </c>
      <c r="AH38" s="41"/>
    </row>
    <row r="39" spans="1:34">
      <c r="A39" s="41" t="s">
        <v>166</v>
      </c>
      <c r="B39" s="41" t="s">
        <v>167</v>
      </c>
      <c r="C39" s="41" t="s">
        <v>41</v>
      </c>
      <c r="D39" s="41" t="s">
        <v>107</v>
      </c>
      <c r="E39" s="41" t="s">
        <v>43</v>
      </c>
      <c r="F39" s="41" t="s">
        <v>87</v>
      </c>
      <c r="G39" s="41" t="s">
        <v>45</v>
      </c>
      <c r="H39" s="41" t="s">
        <v>108</v>
      </c>
      <c r="I39" s="41" t="s">
        <v>81</v>
      </c>
      <c r="J39" s="4">
        <v>46030</v>
      </c>
      <c r="K39" s="4">
        <v>46073</v>
      </c>
      <c r="L39" s="4">
        <v>46077</v>
      </c>
      <c r="M39" s="17">
        <f t="shared" si="0"/>
        <v>46054</v>
      </c>
      <c r="N39" s="17" t="str">
        <f t="shared" si="4"/>
        <v>Feb</v>
      </c>
      <c r="O39" s="10">
        <f t="shared" si="5"/>
        <v>2</v>
      </c>
      <c r="P39" s="10">
        <f>TravelExpenseTable[[#This Row],[Departure_Date]]-TravelExpenseTable[[#This Row],[Booking_Date]]</f>
        <v>43</v>
      </c>
      <c r="Q39" s="10">
        <f>TravelExpenseTable[[#This Row],[Return_Date]]-TravelExpenseTable[[#This Row],[Departure_Date]]</f>
        <v>4</v>
      </c>
      <c r="R39" s="41" t="s">
        <v>102</v>
      </c>
      <c r="S39" s="41" t="s">
        <v>77</v>
      </c>
      <c r="T39" s="5">
        <v>366.79</v>
      </c>
      <c r="U39" s="5">
        <v>1108.95</v>
      </c>
      <c r="V39" s="5">
        <v>102.72</v>
      </c>
      <c r="W39" s="5">
        <v>386.48</v>
      </c>
      <c r="X39" s="5">
        <v>51.88</v>
      </c>
      <c r="Y39" s="6">
        <f>SUM(TravelExpenseTable[[#This Row],[Airfare_USD]],,,TravelExpenseTable[[#This Row],[Hotel_USD]],TravelExpenseTable[[#This Row],[Ground_Transport_USD]],TravelExpenseTable[[#This Row],[Meals_USD]],TravelExpenseTable[[#This Row],[Other_Expenses_USD]])</f>
        <v>2016.8200000000002</v>
      </c>
      <c r="Z39" s="5">
        <v>2346.69</v>
      </c>
      <c r="AA39" s="6">
        <f>TravelExpenseTable[[#This Row],[Budget_USD]]-TravelExpenseTable[[#This Row],[Total_Actual_USD]]</f>
        <v>329.86999999999989</v>
      </c>
      <c r="AB39" s="13">
        <f>TravelExpenseTable[[#This Row],[Budget_Variance_USD]]/TravelExpenseTable[[#This Row],[Budget_USD]]</f>
        <v>0.14056820457751126</v>
      </c>
      <c r="AC39" s="6" t="str">
        <f t="shared" si="6"/>
        <v>Within Budget</v>
      </c>
      <c r="AD39" s="41" t="s">
        <v>51</v>
      </c>
      <c r="AE39" s="41" t="s">
        <v>92</v>
      </c>
      <c r="AF39" s="41" t="s">
        <v>52</v>
      </c>
      <c r="AG39" s="41" t="s">
        <v>53</v>
      </c>
      <c r="AH39" s="41"/>
    </row>
    <row r="40" spans="1:34">
      <c r="A40" s="55" t="s">
        <v>168</v>
      </c>
      <c r="B40" s="55" t="s">
        <v>143</v>
      </c>
      <c r="C40" s="55" t="s">
        <v>66</v>
      </c>
      <c r="D40" s="55" t="s">
        <v>86</v>
      </c>
      <c r="E40" s="55" t="s">
        <v>43</v>
      </c>
      <c r="F40" s="55" t="s">
        <v>87</v>
      </c>
      <c r="G40" s="55" t="s">
        <v>45</v>
      </c>
      <c r="H40" s="55" t="s">
        <v>116</v>
      </c>
      <c r="I40" s="55" t="s">
        <v>81</v>
      </c>
      <c r="J40" s="56">
        <v>46081</v>
      </c>
      <c r="K40" s="56">
        <v>46109</v>
      </c>
      <c r="L40" s="56">
        <v>46110</v>
      </c>
      <c r="M40" s="57">
        <f t="shared" si="0"/>
        <v>46082</v>
      </c>
      <c r="N40" s="57" t="str">
        <f t="shared" si="4"/>
        <v>Mar</v>
      </c>
      <c r="O40" s="58">
        <f t="shared" si="5"/>
        <v>3</v>
      </c>
      <c r="P40" s="58">
        <f>TravelExpenseTable[[#This Row],[Departure_Date]]-TravelExpenseTable[[#This Row],[Booking_Date]]</f>
        <v>28</v>
      </c>
      <c r="Q40" s="58">
        <f>TravelExpenseTable[[#This Row],[Return_Date]]-TravelExpenseTable[[#This Row],[Departure_Date]]</f>
        <v>1</v>
      </c>
      <c r="R40" s="55" t="s">
        <v>48</v>
      </c>
      <c r="S40" s="55" t="s">
        <v>77</v>
      </c>
      <c r="T40" s="59">
        <v>316.92</v>
      </c>
      <c r="U40" s="59">
        <v>197.88</v>
      </c>
      <c r="V40" s="59">
        <v>177.38</v>
      </c>
      <c r="W40" s="59">
        <v>92.52</v>
      </c>
      <c r="X40" s="59">
        <v>136.80000000000001</v>
      </c>
      <c r="Y40" s="60">
        <f>SUM(TravelExpenseTable[[#This Row],[Airfare_USD]],,,TravelExpenseTable[[#This Row],[Hotel_USD]],TravelExpenseTable[[#This Row],[Ground_Transport_USD]],TravelExpenseTable[[#This Row],[Meals_USD]],TravelExpenseTable[[#This Row],[Other_Expenses_USD]])</f>
        <v>921.5</v>
      </c>
      <c r="Z40" s="59">
        <v>867.19</v>
      </c>
      <c r="AA40" s="60">
        <f>TravelExpenseTable[[#This Row],[Budget_USD]]-TravelExpenseTable[[#This Row],[Total_Actual_USD]]</f>
        <v>-54.309999999999945</v>
      </c>
      <c r="AB40" s="61">
        <f>TravelExpenseTable[[#This Row],[Budget_Variance_USD]]/TravelExpenseTable[[#This Row],[Budget_USD]]</f>
        <v>-6.2627567199806208E-2</v>
      </c>
      <c r="AC40" s="60" t="str">
        <f t="shared" si="6"/>
        <v>Over Budget</v>
      </c>
      <c r="AD40" s="55" t="s">
        <v>51</v>
      </c>
      <c r="AE40" s="55" t="s">
        <v>50</v>
      </c>
      <c r="AF40" s="55" t="s">
        <v>53</v>
      </c>
      <c r="AG40" s="55" t="s">
        <v>52</v>
      </c>
      <c r="AH40" s="55" t="s">
        <v>63</v>
      </c>
    </row>
    <row r="41" spans="1:34">
      <c r="A41" s="41" t="s">
        <v>169</v>
      </c>
      <c r="B41" s="41" t="s">
        <v>170</v>
      </c>
      <c r="C41" s="41" t="s">
        <v>95</v>
      </c>
      <c r="D41" s="41" t="s">
        <v>67</v>
      </c>
      <c r="E41" s="41" t="s">
        <v>43</v>
      </c>
      <c r="F41" s="41" t="s">
        <v>96</v>
      </c>
      <c r="G41" s="41" t="s">
        <v>45</v>
      </c>
      <c r="H41" s="41" t="s">
        <v>46</v>
      </c>
      <c r="I41" s="41" t="s">
        <v>60</v>
      </c>
      <c r="J41" s="4">
        <v>46175</v>
      </c>
      <c r="K41" s="4">
        <v>46188</v>
      </c>
      <c r="L41" s="4">
        <v>46190</v>
      </c>
      <c r="M41" s="17">
        <f t="shared" si="0"/>
        <v>46174</v>
      </c>
      <c r="N41" s="17" t="str">
        <f t="shared" si="4"/>
        <v>Jun</v>
      </c>
      <c r="O41" s="10">
        <f t="shared" si="5"/>
        <v>6</v>
      </c>
      <c r="P41" s="10">
        <f>TravelExpenseTable[[#This Row],[Departure_Date]]-TravelExpenseTable[[#This Row],[Booking_Date]]</f>
        <v>13</v>
      </c>
      <c r="Q41" s="10">
        <f>TravelExpenseTable[[#This Row],[Return_Date]]-TravelExpenseTable[[#This Row],[Departure_Date]]</f>
        <v>2</v>
      </c>
      <c r="R41" s="41" t="s">
        <v>48</v>
      </c>
      <c r="S41" s="41" t="s">
        <v>62</v>
      </c>
      <c r="T41" s="5">
        <v>263.13</v>
      </c>
      <c r="U41" s="5">
        <v>836.9</v>
      </c>
      <c r="V41" s="5">
        <v>204.76</v>
      </c>
      <c r="W41" s="5">
        <v>165.37</v>
      </c>
      <c r="X41" s="5">
        <v>21.14</v>
      </c>
      <c r="Y41" s="6">
        <f>SUM(TravelExpenseTable[[#This Row],[Airfare_USD]],,,TravelExpenseTable[[#This Row],[Hotel_USD]],TravelExpenseTable[[#This Row],[Ground_Transport_USD]],TravelExpenseTable[[#This Row],[Meals_USD]],TravelExpenseTable[[#This Row],[Other_Expenses_USD]])</f>
        <v>1491.3</v>
      </c>
      <c r="Z41" s="5">
        <v>1684.64</v>
      </c>
      <c r="AA41" s="6">
        <f>TravelExpenseTable[[#This Row],[Budget_USD]]-TravelExpenseTable[[#This Row],[Total_Actual_USD]]</f>
        <v>193.34000000000015</v>
      </c>
      <c r="AB41" s="13">
        <f>TravelExpenseTable[[#This Row],[Budget_Variance_USD]]/TravelExpenseTable[[#This Row],[Budget_USD]]</f>
        <v>0.11476635957830761</v>
      </c>
      <c r="AC41" s="6" t="str">
        <f t="shared" si="6"/>
        <v>Within Budget</v>
      </c>
      <c r="AD41" s="41" t="s">
        <v>50</v>
      </c>
      <c r="AE41" s="41" t="s">
        <v>51</v>
      </c>
      <c r="AF41" s="41" t="s">
        <v>52</v>
      </c>
      <c r="AG41" s="41" t="s">
        <v>53</v>
      </c>
      <c r="AH41" s="41"/>
    </row>
    <row r="42" spans="1:34">
      <c r="A42" s="55" t="s">
        <v>171</v>
      </c>
      <c r="B42" s="55" t="s">
        <v>154</v>
      </c>
      <c r="C42" s="55" t="s">
        <v>41</v>
      </c>
      <c r="D42" s="55" t="s">
        <v>42</v>
      </c>
      <c r="E42" s="55" t="s">
        <v>43</v>
      </c>
      <c r="F42" s="55" t="s">
        <v>172</v>
      </c>
      <c r="G42" s="55" t="s">
        <v>59</v>
      </c>
      <c r="H42" s="55" t="s">
        <v>108</v>
      </c>
      <c r="I42" s="55" t="s">
        <v>81</v>
      </c>
      <c r="J42" s="56">
        <v>46132</v>
      </c>
      <c r="K42" s="56">
        <v>46150</v>
      </c>
      <c r="L42" s="56">
        <v>46156</v>
      </c>
      <c r="M42" s="57">
        <f t="shared" si="0"/>
        <v>46143</v>
      </c>
      <c r="N42" s="57" t="str">
        <f t="shared" si="4"/>
        <v>May</v>
      </c>
      <c r="O42" s="58">
        <f t="shared" si="5"/>
        <v>5</v>
      </c>
      <c r="P42" s="58">
        <f>TravelExpenseTable[[#This Row],[Departure_Date]]-TravelExpenseTable[[#This Row],[Booking_Date]]</f>
        <v>18</v>
      </c>
      <c r="Q42" s="58">
        <f>TravelExpenseTable[[#This Row],[Return_Date]]-TravelExpenseTable[[#This Row],[Departure_Date]]</f>
        <v>6</v>
      </c>
      <c r="R42" s="55" t="s">
        <v>61</v>
      </c>
      <c r="S42" s="55" t="s">
        <v>138</v>
      </c>
      <c r="T42" s="59">
        <v>1714.05</v>
      </c>
      <c r="U42" s="59">
        <v>1719.39</v>
      </c>
      <c r="V42" s="59">
        <v>289.83</v>
      </c>
      <c r="W42" s="59">
        <v>641.04999999999995</v>
      </c>
      <c r="X42" s="59">
        <v>49.72</v>
      </c>
      <c r="Y42" s="60">
        <f>SUM(TravelExpenseTable[[#This Row],[Airfare_USD]],,,TravelExpenseTable[[#This Row],[Hotel_USD]],TravelExpenseTable[[#This Row],[Ground_Transport_USD]],TravelExpenseTable[[#This Row],[Meals_USD]],TravelExpenseTable[[#This Row],[Other_Expenses_USD]])</f>
        <v>4414.04</v>
      </c>
      <c r="Z42" s="59">
        <v>4930.49</v>
      </c>
      <c r="AA42" s="60">
        <f>TravelExpenseTable[[#This Row],[Budget_USD]]-TravelExpenseTable[[#This Row],[Total_Actual_USD]]</f>
        <v>516.44999999999982</v>
      </c>
      <c r="AB42" s="61">
        <f>TravelExpenseTable[[#This Row],[Budget_Variance_USD]]/TravelExpenseTable[[#This Row],[Budget_USD]]</f>
        <v>0.10474618141401765</v>
      </c>
      <c r="AC42" s="60" t="str">
        <f t="shared" si="6"/>
        <v>Within Budget</v>
      </c>
      <c r="AD42" s="55" t="s">
        <v>50</v>
      </c>
      <c r="AE42" s="55" t="s">
        <v>83</v>
      </c>
      <c r="AF42" s="55" t="s">
        <v>53</v>
      </c>
      <c r="AG42" s="55" t="s">
        <v>52</v>
      </c>
      <c r="AH42" s="55" t="s">
        <v>63</v>
      </c>
    </row>
    <row r="43" spans="1:34">
      <c r="A43" s="41" t="s">
        <v>173</v>
      </c>
      <c r="B43" s="41" t="s">
        <v>174</v>
      </c>
      <c r="C43" s="41" t="s">
        <v>56</v>
      </c>
      <c r="D43" s="41" t="s">
        <v>67</v>
      </c>
      <c r="E43" s="41" t="s">
        <v>43</v>
      </c>
      <c r="F43" s="41" t="s">
        <v>157</v>
      </c>
      <c r="G43" s="41" t="s">
        <v>45</v>
      </c>
      <c r="H43" s="41" t="s">
        <v>108</v>
      </c>
      <c r="I43" s="41" t="s">
        <v>81</v>
      </c>
      <c r="J43" s="4">
        <v>46165</v>
      </c>
      <c r="K43" s="4">
        <v>46177</v>
      </c>
      <c r="L43" s="4">
        <v>46181</v>
      </c>
      <c r="M43" s="17">
        <f t="shared" si="0"/>
        <v>46174</v>
      </c>
      <c r="N43" s="17" t="str">
        <f t="shared" si="4"/>
        <v>Jun</v>
      </c>
      <c r="O43" s="10">
        <f t="shared" si="5"/>
        <v>6</v>
      </c>
      <c r="P43" s="10">
        <f>TravelExpenseTable[[#This Row],[Departure_Date]]-TravelExpenseTable[[#This Row],[Booking_Date]]</f>
        <v>12</v>
      </c>
      <c r="Q43" s="10">
        <f>TravelExpenseTable[[#This Row],[Return_Date]]-TravelExpenseTable[[#This Row],[Departure_Date]]</f>
        <v>4</v>
      </c>
      <c r="R43" s="41" t="s">
        <v>48</v>
      </c>
      <c r="S43" s="41" t="s">
        <v>77</v>
      </c>
      <c r="T43" s="5">
        <v>715.24</v>
      </c>
      <c r="U43" s="5">
        <v>851.42</v>
      </c>
      <c r="V43" s="5">
        <v>101.31</v>
      </c>
      <c r="W43" s="5">
        <v>265.27999999999997</v>
      </c>
      <c r="X43" s="5">
        <v>125.55</v>
      </c>
      <c r="Y43" s="6">
        <f>SUM(TravelExpenseTable[[#This Row],[Airfare_USD]],,,TravelExpenseTable[[#This Row],[Hotel_USD]],TravelExpenseTable[[#This Row],[Ground_Transport_USD]],TravelExpenseTable[[#This Row],[Meals_USD]],TravelExpenseTable[[#This Row],[Other_Expenses_USD]])</f>
        <v>2058.7999999999997</v>
      </c>
      <c r="Z43" s="5">
        <v>2164.91</v>
      </c>
      <c r="AA43" s="6">
        <f>TravelExpenseTable[[#This Row],[Budget_USD]]-TravelExpenseTable[[#This Row],[Total_Actual_USD]]</f>
        <v>106.11000000000013</v>
      </c>
      <c r="AB43" s="13">
        <f>TravelExpenseTable[[#This Row],[Budget_Variance_USD]]/TravelExpenseTable[[#This Row],[Budget_USD]]</f>
        <v>4.901358486034068E-2</v>
      </c>
      <c r="AC43" s="6" t="str">
        <f t="shared" si="6"/>
        <v>Within Budget</v>
      </c>
      <c r="AD43" s="41" t="s">
        <v>50</v>
      </c>
      <c r="AE43" s="41" t="s">
        <v>83</v>
      </c>
      <c r="AF43" s="41" t="s">
        <v>52</v>
      </c>
      <c r="AG43" s="41" t="s">
        <v>53</v>
      </c>
      <c r="AH43" s="41"/>
    </row>
    <row r="44" spans="1:34">
      <c r="A44" s="41" t="s">
        <v>175</v>
      </c>
      <c r="B44" s="41" t="s">
        <v>176</v>
      </c>
      <c r="C44" s="41" t="s">
        <v>66</v>
      </c>
      <c r="D44" s="41" t="s">
        <v>124</v>
      </c>
      <c r="E44" s="41" t="s">
        <v>43</v>
      </c>
      <c r="F44" s="41" t="s">
        <v>58</v>
      </c>
      <c r="G44" s="41" t="s">
        <v>59</v>
      </c>
      <c r="H44" s="41" t="s">
        <v>116</v>
      </c>
      <c r="I44" s="41" t="s">
        <v>47</v>
      </c>
      <c r="J44" s="4">
        <v>46091</v>
      </c>
      <c r="K44" s="4">
        <v>46125</v>
      </c>
      <c r="L44" s="4">
        <v>46129</v>
      </c>
      <c r="M44" s="17">
        <f t="shared" si="0"/>
        <v>46113</v>
      </c>
      <c r="N44" s="17" t="str">
        <f t="shared" si="4"/>
        <v>Apr</v>
      </c>
      <c r="O44" s="10">
        <f t="shared" si="5"/>
        <v>4</v>
      </c>
      <c r="P44" s="10">
        <f>TravelExpenseTable[[#This Row],[Departure_Date]]-TravelExpenseTable[[#This Row],[Booking_Date]]</f>
        <v>34</v>
      </c>
      <c r="Q44" s="10">
        <f>TravelExpenseTable[[#This Row],[Return_Date]]-TravelExpenseTable[[#This Row],[Departure_Date]]</f>
        <v>4</v>
      </c>
      <c r="R44" s="41" t="s">
        <v>70</v>
      </c>
      <c r="S44" s="41" t="s">
        <v>71</v>
      </c>
      <c r="T44" s="5">
        <v>1485.53</v>
      </c>
      <c r="U44" s="5">
        <v>1159.72</v>
      </c>
      <c r="V44" s="5">
        <v>184.23</v>
      </c>
      <c r="W44" s="5">
        <v>393.39</v>
      </c>
      <c r="X44" s="5">
        <v>73.8</v>
      </c>
      <c r="Y44" s="6">
        <f>SUM(TravelExpenseTable[[#This Row],[Airfare_USD]],,,TravelExpenseTable[[#This Row],[Hotel_USD]],TravelExpenseTable[[#This Row],[Ground_Transport_USD]],TravelExpenseTable[[#This Row],[Meals_USD]],TravelExpenseTable[[#This Row],[Other_Expenses_USD]])</f>
        <v>3296.67</v>
      </c>
      <c r="Z44" s="5">
        <v>3548.65</v>
      </c>
      <c r="AA44" s="6">
        <f>TravelExpenseTable[[#This Row],[Budget_USD]]-TravelExpenseTable[[#This Row],[Total_Actual_USD]]</f>
        <v>251.98000000000002</v>
      </c>
      <c r="AB44" s="13">
        <f>TravelExpenseTable[[#This Row],[Budget_Variance_USD]]/TravelExpenseTable[[#This Row],[Budget_USD]]</f>
        <v>7.1007284460287715E-2</v>
      </c>
      <c r="AC44" s="6" t="str">
        <f t="shared" si="6"/>
        <v>Within Budget</v>
      </c>
      <c r="AD44" s="41" t="s">
        <v>50</v>
      </c>
      <c r="AE44" s="41" t="s">
        <v>92</v>
      </c>
      <c r="AF44" s="41" t="s">
        <v>52</v>
      </c>
      <c r="AG44" s="41" t="s">
        <v>53</v>
      </c>
      <c r="AH44" s="41"/>
    </row>
    <row r="45" spans="1:34">
      <c r="A45" s="41" t="s">
        <v>177</v>
      </c>
      <c r="B45" s="41" t="s">
        <v>130</v>
      </c>
      <c r="C45" s="41" t="s">
        <v>41</v>
      </c>
      <c r="D45" s="41" t="s">
        <v>57</v>
      </c>
      <c r="E45" s="41" t="s">
        <v>43</v>
      </c>
      <c r="F45" s="41" t="s">
        <v>133</v>
      </c>
      <c r="G45" s="41" t="s">
        <v>45</v>
      </c>
      <c r="H45" s="41" t="s">
        <v>112</v>
      </c>
      <c r="I45" s="41" t="s">
        <v>76</v>
      </c>
      <c r="J45" s="4">
        <v>46142</v>
      </c>
      <c r="K45" s="4">
        <v>46186</v>
      </c>
      <c r="L45" s="4">
        <v>46190</v>
      </c>
      <c r="M45" s="17">
        <f t="shared" si="0"/>
        <v>46174</v>
      </c>
      <c r="N45" s="17" t="str">
        <f t="shared" si="4"/>
        <v>Jun</v>
      </c>
      <c r="O45" s="10">
        <f t="shared" si="5"/>
        <v>6</v>
      </c>
      <c r="P45" s="10">
        <f>TravelExpenseTable[[#This Row],[Departure_Date]]-TravelExpenseTable[[#This Row],[Booking_Date]]</f>
        <v>44</v>
      </c>
      <c r="Q45" s="10">
        <f>TravelExpenseTable[[#This Row],[Return_Date]]-TravelExpenseTable[[#This Row],[Departure_Date]]</f>
        <v>4</v>
      </c>
      <c r="R45" s="41" t="s">
        <v>121</v>
      </c>
      <c r="S45" s="41" t="s">
        <v>49</v>
      </c>
      <c r="T45" s="5">
        <v>532.53</v>
      </c>
      <c r="U45" s="5">
        <v>872.29</v>
      </c>
      <c r="V45" s="5">
        <v>139.68</v>
      </c>
      <c r="W45" s="5">
        <v>368.19</v>
      </c>
      <c r="X45" s="5">
        <v>42.26</v>
      </c>
      <c r="Y45" s="6">
        <f>SUM(TravelExpenseTable[[#This Row],[Airfare_USD]],,,TravelExpenseTable[[#This Row],[Hotel_USD]],TravelExpenseTable[[#This Row],[Ground_Transport_USD]],TravelExpenseTable[[#This Row],[Meals_USD]],TravelExpenseTable[[#This Row],[Other_Expenses_USD]])</f>
        <v>1954.95</v>
      </c>
      <c r="Z45" s="5">
        <v>2121.75</v>
      </c>
      <c r="AA45" s="6">
        <f>TravelExpenseTable[[#This Row],[Budget_USD]]-TravelExpenseTable[[#This Row],[Total_Actual_USD]]</f>
        <v>166.79999999999995</v>
      </c>
      <c r="AB45" s="13">
        <f>TravelExpenseTable[[#This Row],[Budget_Variance_USD]]/TravelExpenseTable[[#This Row],[Budget_USD]]</f>
        <v>7.8614351360904888E-2</v>
      </c>
      <c r="AC45" s="6" t="str">
        <f t="shared" si="6"/>
        <v>Within Budget</v>
      </c>
      <c r="AD45" s="41" t="s">
        <v>50</v>
      </c>
      <c r="AE45" s="41" t="s">
        <v>50</v>
      </c>
      <c r="AF45" s="41" t="s">
        <v>52</v>
      </c>
      <c r="AG45" s="41" t="s">
        <v>53</v>
      </c>
      <c r="AH45" s="41"/>
    </row>
    <row r="46" spans="1:34">
      <c r="A46" s="55" t="s">
        <v>178</v>
      </c>
      <c r="B46" s="55" t="s">
        <v>179</v>
      </c>
      <c r="C46" s="55" t="s">
        <v>95</v>
      </c>
      <c r="D46" s="55" t="s">
        <v>86</v>
      </c>
      <c r="E46" s="55" t="s">
        <v>43</v>
      </c>
      <c r="F46" s="55" t="s">
        <v>68</v>
      </c>
      <c r="G46" s="55" t="s">
        <v>45</v>
      </c>
      <c r="H46" s="55" t="s">
        <v>75</v>
      </c>
      <c r="I46" s="55" t="s">
        <v>81</v>
      </c>
      <c r="J46" s="56">
        <v>46158</v>
      </c>
      <c r="K46" s="56">
        <v>46189</v>
      </c>
      <c r="L46" s="56">
        <v>46190</v>
      </c>
      <c r="M46" s="57">
        <f t="shared" si="0"/>
        <v>46174</v>
      </c>
      <c r="N46" s="57" t="str">
        <f t="shared" si="4"/>
        <v>Jun</v>
      </c>
      <c r="O46" s="58">
        <f t="shared" si="5"/>
        <v>6</v>
      </c>
      <c r="P46" s="58">
        <f>TravelExpenseTable[[#This Row],[Departure_Date]]-TravelExpenseTable[[#This Row],[Booking_Date]]</f>
        <v>31</v>
      </c>
      <c r="Q46" s="58">
        <f>TravelExpenseTable[[#This Row],[Return_Date]]-TravelExpenseTable[[#This Row],[Departure_Date]]</f>
        <v>1</v>
      </c>
      <c r="R46" s="55" t="s">
        <v>121</v>
      </c>
      <c r="S46" s="55" t="s">
        <v>62</v>
      </c>
      <c r="T46" s="59">
        <v>729.46</v>
      </c>
      <c r="U46" s="59">
        <v>163.29</v>
      </c>
      <c r="V46" s="59">
        <v>137.94999999999999</v>
      </c>
      <c r="W46" s="59">
        <v>88.96</v>
      </c>
      <c r="X46" s="59">
        <v>142.65</v>
      </c>
      <c r="Y46" s="60">
        <f>SUM(TravelExpenseTable[[#This Row],[Airfare_USD]],,,TravelExpenseTable[[#This Row],[Hotel_USD]],TravelExpenseTable[[#This Row],[Ground_Transport_USD]],TravelExpenseTable[[#This Row],[Meals_USD]],TravelExpenseTable[[#This Row],[Other_Expenses_USD]])</f>
        <v>1262.3100000000002</v>
      </c>
      <c r="Z46" s="59">
        <v>1175.2</v>
      </c>
      <c r="AA46" s="60">
        <f>TravelExpenseTable[[#This Row],[Budget_USD]]-TravelExpenseTable[[#This Row],[Total_Actual_USD]]</f>
        <v>-87.110000000000127</v>
      </c>
      <c r="AB46" s="61">
        <f>TravelExpenseTable[[#This Row],[Budget_Variance_USD]]/TravelExpenseTable[[#This Row],[Budget_USD]]</f>
        <v>-7.4123553437712833E-2</v>
      </c>
      <c r="AC46" s="60" t="str">
        <f t="shared" si="6"/>
        <v>Over Budget</v>
      </c>
      <c r="AD46" s="55" t="s">
        <v>50</v>
      </c>
      <c r="AE46" s="55" t="s">
        <v>50</v>
      </c>
      <c r="AF46" s="55" t="s">
        <v>53</v>
      </c>
      <c r="AG46" s="55" t="s">
        <v>52</v>
      </c>
      <c r="AH46" s="55" t="s">
        <v>63</v>
      </c>
    </row>
    <row r="47" spans="1:34">
      <c r="A47" s="41" t="s">
        <v>180</v>
      </c>
      <c r="B47" s="41" t="s">
        <v>140</v>
      </c>
      <c r="C47" s="41" t="s">
        <v>95</v>
      </c>
      <c r="D47" s="41" t="s">
        <v>111</v>
      </c>
      <c r="E47" s="41" t="s">
        <v>43</v>
      </c>
      <c r="F47" s="41" t="s">
        <v>44</v>
      </c>
      <c r="G47" s="41" t="s">
        <v>45</v>
      </c>
      <c r="H47" s="41" t="s">
        <v>46</v>
      </c>
      <c r="I47" s="41" t="s">
        <v>60</v>
      </c>
      <c r="J47" s="4">
        <v>46043</v>
      </c>
      <c r="K47" s="4">
        <v>46086</v>
      </c>
      <c r="L47" s="4">
        <v>46090</v>
      </c>
      <c r="M47" s="17">
        <f t="shared" si="0"/>
        <v>46082</v>
      </c>
      <c r="N47" s="17" t="str">
        <f t="shared" si="4"/>
        <v>Mar</v>
      </c>
      <c r="O47" s="10">
        <f t="shared" si="5"/>
        <v>3</v>
      </c>
      <c r="P47" s="10">
        <f>TravelExpenseTable[[#This Row],[Departure_Date]]-TravelExpenseTable[[#This Row],[Booking_Date]]</f>
        <v>43</v>
      </c>
      <c r="Q47" s="10">
        <f>TravelExpenseTable[[#This Row],[Return_Date]]-TravelExpenseTable[[#This Row],[Departure_Date]]</f>
        <v>4</v>
      </c>
      <c r="R47" s="41" t="s">
        <v>98</v>
      </c>
      <c r="S47" s="41" t="s">
        <v>113</v>
      </c>
      <c r="T47" s="5">
        <v>793.4</v>
      </c>
      <c r="U47" s="5">
        <v>1317.28</v>
      </c>
      <c r="V47" s="5">
        <v>57.93</v>
      </c>
      <c r="W47" s="5">
        <v>446.86</v>
      </c>
      <c r="X47" s="5">
        <v>177.78</v>
      </c>
      <c r="Y47" s="6">
        <f>SUM(TravelExpenseTable[[#This Row],[Airfare_USD]],,,TravelExpenseTable[[#This Row],[Hotel_USD]],TravelExpenseTable[[#This Row],[Ground_Transport_USD]],TravelExpenseTable[[#This Row],[Meals_USD]],TravelExpenseTable[[#This Row],[Other_Expenses_USD]])</f>
        <v>2793.25</v>
      </c>
      <c r="Z47" s="5">
        <v>2708.74</v>
      </c>
      <c r="AA47" s="6">
        <f>TravelExpenseTable[[#This Row],[Budget_USD]]-TravelExpenseTable[[#This Row],[Total_Actual_USD]]</f>
        <v>-84.510000000000218</v>
      </c>
      <c r="AB47" s="13">
        <f>TravelExpenseTable[[#This Row],[Budget_Variance_USD]]/TravelExpenseTable[[#This Row],[Budget_USD]]</f>
        <v>-3.1199007656696556E-2</v>
      </c>
      <c r="AC47" s="6" t="str">
        <f t="shared" si="6"/>
        <v>Over Budget</v>
      </c>
      <c r="AD47" s="41" t="s">
        <v>50</v>
      </c>
      <c r="AE47" s="41" t="s">
        <v>51</v>
      </c>
      <c r="AF47" s="41" t="s">
        <v>52</v>
      </c>
      <c r="AG47" s="41" t="s">
        <v>53</v>
      </c>
      <c r="AH47" s="41"/>
    </row>
    <row r="48" spans="1:34">
      <c r="A48" s="41" t="s">
        <v>181</v>
      </c>
      <c r="B48" s="41" t="s">
        <v>106</v>
      </c>
      <c r="C48" s="41" t="s">
        <v>41</v>
      </c>
      <c r="D48" s="41" t="s">
        <v>107</v>
      </c>
      <c r="E48" s="41" t="s">
        <v>43</v>
      </c>
      <c r="F48" s="41" t="s">
        <v>182</v>
      </c>
      <c r="G48" s="41" t="s">
        <v>45</v>
      </c>
      <c r="H48" s="41" t="s">
        <v>69</v>
      </c>
      <c r="I48" s="41" t="s">
        <v>60</v>
      </c>
      <c r="J48" s="4">
        <v>46116</v>
      </c>
      <c r="K48" s="4">
        <v>46125</v>
      </c>
      <c r="L48" s="4">
        <v>46129</v>
      </c>
      <c r="M48" s="17">
        <f t="shared" si="0"/>
        <v>46113</v>
      </c>
      <c r="N48" s="17" t="str">
        <f t="shared" si="4"/>
        <v>Apr</v>
      </c>
      <c r="O48" s="10">
        <f t="shared" si="5"/>
        <v>4</v>
      </c>
      <c r="P48" s="10">
        <f>TravelExpenseTable[[#This Row],[Departure_Date]]-TravelExpenseTable[[#This Row],[Booking_Date]]</f>
        <v>9</v>
      </c>
      <c r="Q48" s="10">
        <f>TravelExpenseTable[[#This Row],[Return_Date]]-TravelExpenseTable[[#This Row],[Departure_Date]]</f>
        <v>4</v>
      </c>
      <c r="R48" s="41" t="s">
        <v>98</v>
      </c>
      <c r="S48" s="41" t="s">
        <v>71</v>
      </c>
      <c r="T48" s="5">
        <v>775.83</v>
      </c>
      <c r="U48" s="5">
        <v>748.95</v>
      </c>
      <c r="V48" s="5">
        <v>216.14</v>
      </c>
      <c r="W48" s="5">
        <v>377.98</v>
      </c>
      <c r="X48" s="5">
        <v>49.41</v>
      </c>
      <c r="Y48" s="6">
        <f>SUM(TravelExpenseTable[[#This Row],[Airfare_USD]],,,TravelExpenseTable[[#This Row],[Hotel_USD]],TravelExpenseTable[[#This Row],[Ground_Transport_USD]],TravelExpenseTable[[#This Row],[Meals_USD]],TravelExpenseTable[[#This Row],[Other_Expenses_USD]])</f>
        <v>2168.31</v>
      </c>
      <c r="Z48" s="5">
        <v>2276.25</v>
      </c>
      <c r="AA48" s="6">
        <f>TravelExpenseTable[[#This Row],[Budget_USD]]-TravelExpenseTable[[#This Row],[Total_Actual_USD]]</f>
        <v>107.94000000000005</v>
      </c>
      <c r="AB48" s="13">
        <f>TravelExpenseTable[[#This Row],[Budget_Variance_USD]]/TravelExpenseTable[[#This Row],[Budget_USD]]</f>
        <v>4.7420098846787502E-2</v>
      </c>
      <c r="AC48" s="6" t="str">
        <f t="shared" si="6"/>
        <v>Within Budget</v>
      </c>
      <c r="AD48" s="41" t="s">
        <v>50</v>
      </c>
      <c r="AE48" s="41" t="s">
        <v>50</v>
      </c>
      <c r="AF48" s="41" t="s">
        <v>52</v>
      </c>
      <c r="AG48" s="41" t="s">
        <v>53</v>
      </c>
      <c r="AH48" s="41"/>
    </row>
    <row r="49" spans="1:34">
      <c r="A49" s="41" t="s">
        <v>183</v>
      </c>
      <c r="B49" s="41" t="s">
        <v>174</v>
      </c>
      <c r="C49" s="41" t="s">
        <v>56</v>
      </c>
      <c r="D49" s="41" t="s">
        <v>67</v>
      </c>
      <c r="E49" s="41" t="s">
        <v>43</v>
      </c>
      <c r="F49" s="41" t="s">
        <v>104</v>
      </c>
      <c r="G49" s="41" t="s">
        <v>45</v>
      </c>
      <c r="H49" s="41" t="s">
        <v>69</v>
      </c>
      <c r="I49" s="41" t="s">
        <v>60</v>
      </c>
      <c r="J49" s="4">
        <v>46165</v>
      </c>
      <c r="K49" s="4">
        <v>46182</v>
      </c>
      <c r="L49" s="4">
        <v>46185</v>
      </c>
      <c r="M49" s="17">
        <f t="shared" si="0"/>
        <v>46174</v>
      </c>
      <c r="N49" s="17" t="str">
        <f t="shared" si="4"/>
        <v>Jun</v>
      </c>
      <c r="O49" s="10">
        <f t="shared" si="5"/>
        <v>6</v>
      </c>
      <c r="P49" s="10">
        <f>TravelExpenseTable[[#This Row],[Departure_Date]]-TravelExpenseTable[[#This Row],[Booking_Date]]</f>
        <v>17</v>
      </c>
      <c r="Q49" s="10">
        <f>TravelExpenseTable[[#This Row],[Return_Date]]-TravelExpenseTable[[#This Row],[Departure_Date]]</f>
        <v>3</v>
      </c>
      <c r="R49" s="41" t="s">
        <v>48</v>
      </c>
      <c r="S49" s="41" t="s">
        <v>113</v>
      </c>
      <c r="T49" s="5">
        <v>620.92999999999995</v>
      </c>
      <c r="U49" s="5">
        <v>1055.51</v>
      </c>
      <c r="V49" s="5">
        <v>191.71</v>
      </c>
      <c r="W49" s="5">
        <v>278.08</v>
      </c>
      <c r="X49" s="5">
        <v>162.61000000000001</v>
      </c>
      <c r="Y49" s="6">
        <f>SUM(TravelExpenseTable[[#This Row],[Airfare_USD]],,,TravelExpenseTable[[#This Row],[Hotel_USD]],TravelExpenseTable[[#This Row],[Ground_Transport_USD]],TravelExpenseTable[[#This Row],[Meals_USD]],TravelExpenseTable[[#This Row],[Other_Expenses_USD]])</f>
        <v>2308.84</v>
      </c>
      <c r="Z49" s="5">
        <v>2479.4699999999998</v>
      </c>
      <c r="AA49" s="6">
        <f>TravelExpenseTable[[#This Row],[Budget_USD]]-TravelExpenseTable[[#This Row],[Total_Actual_USD]]</f>
        <v>170.62999999999965</v>
      </c>
      <c r="AB49" s="13">
        <f>TravelExpenseTable[[#This Row],[Budget_Variance_USD]]/TravelExpenseTable[[#This Row],[Budget_USD]]</f>
        <v>6.8817126240688406E-2</v>
      </c>
      <c r="AC49" s="6" t="str">
        <f t="shared" si="6"/>
        <v>Within Budget</v>
      </c>
      <c r="AD49" s="41" t="s">
        <v>50</v>
      </c>
      <c r="AE49" s="41" t="s">
        <v>83</v>
      </c>
      <c r="AF49" s="41" t="s">
        <v>52</v>
      </c>
      <c r="AG49" s="41" t="s">
        <v>53</v>
      </c>
      <c r="AH49" s="41"/>
    </row>
    <row r="50" spans="1:34">
      <c r="A50" s="41" t="s">
        <v>184</v>
      </c>
      <c r="B50" s="41" t="s">
        <v>79</v>
      </c>
      <c r="C50" s="41" t="s">
        <v>41</v>
      </c>
      <c r="D50" s="41" t="s">
        <v>42</v>
      </c>
      <c r="E50" s="41" t="s">
        <v>43</v>
      </c>
      <c r="F50" s="41" t="s">
        <v>44</v>
      </c>
      <c r="G50" s="41" t="s">
        <v>45</v>
      </c>
      <c r="H50" s="41" t="s">
        <v>97</v>
      </c>
      <c r="I50" s="41" t="s">
        <v>81</v>
      </c>
      <c r="J50" s="4">
        <v>46027</v>
      </c>
      <c r="K50" s="4">
        <v>46050</v>
      </c>
      <c r="L50" s="4">
        <v>46053</v>
      </c>
      <c r="M50" s="17">
        <f t="shared" si="0"/>
        <v>46023</v>
      </c>
      <c r="N50" s="17" t="str">
        <f t="shared" si="4"/>
        <v>Jan</v>
      </c>
      <c r="O50" s="10">
        <f t="shared" si="5"/>
        <v>1</v>
      </c>
      <c r="P50" s="10">
        <f>TravelExpenseTable[[#This Row],[Departure_Date]]-TravelExpenseTable[[#This Row],[Booking_Date]]</f>
        <v>23</v>
      </c>
      <c r="Q50" s="10">
        <f>TravelExpenseTable[[#This Row],[Return_Date]]-TravelExpenseTable[[#This Row],[Departure_Date]]</f>
        <v>3</v>
      </c>
      <c r="R50" s="41" t="s">
        <v>70</v>
      </c>
      <c r="S50" s="41" t="s">
        <v>91</v>
      </c>
      <c r="T50" s="5">
        <v>763.76</v>
      </c>
      <c r="U50" s="5">
        <v>978.51</v>
      </c>
      <c r="V50" s="5">
        <v>204.86</v>
      </c>
      <c r="W50" s="5">
        <v>314.49</v>
      </c>
      <c r="X50" s="5">
        <v>46.25</v>
      </c>
      <c r="Y50" s="6">
        <f>SUM(TravelExpenseTable[[#This Row],[Airfare_USD]],,,TravelExpenseTable[[#This Row],[Hotel_USD]],TravelExpenseTable[[#This Row],[Ground_Transport_USD]],TravelExpenseTable[[#This Row],[Meals_USD]],TravelExpenseTable[[#This Row],[Other_Expenses_USD]])</f>
        <v>2307.87</v>
      </c>
      <c r="Z50" s="5">
        <v>2601.91</v>
      </c>
      <c r="AA50" s="6">
        <f>TravelExpenseTable[[#This Row],[Budget_USD]]-TravelExpenseTable[[#This Row],[Total_Actual_USD]]</f>
        <v>294.03999999999996</v>
      </c>
      <c r="AB50" s="13">
        <f>TravelExpenseTable[[#This Row],[Budget_Variance_USD]]/TravelExpenseTable[[#This Row],[Budget_USD]]</f>
        <v>0.11300928932976159</v>
      </c>
      <c r="AC50" s="6" t="str">
        <f t="shared" si="6"/>
        <v>Within Budget</v>
      </c>
      <c r="AD50" s="41" t="s">
        <v>50</v>
      </c>
      <c r="AE50" s="41" t="s">
        <v>83</v>
      </c>
      <c r="AF50" s="41" t="s">
        <v>52</v>
      </c>
      <c r="AG50" s="41" t="s">
        <v>53</v>
      </c>
      <c r="AH50" s="41"/>
    </row>
    <row r="51" spans="1:34">
      <c r="A51" s="41" t="s">
        <v>185</v>
      </c>
      <c r="B51" s="41" t="s">
        <v>132</v>
      </c>
      <c r="C51" s="41" t="s">
        <v>56</v>
      </c>
      <c r="D51" s="41" t="s">
        <v>42</v>
      </c>
      <c r="E51" s="41" t="s">
        <v>43</v>
      </c>
      <c r="F51" s="41" t="s">
        <v>68</v>
      </c>
      <c r="G51" s="41" t="s">
        <v>45</v>
      </c>
      <c r="H51" s="41" t="s">
        <v>69</v>
      </c>
      <c r="I51" s="41" t="s">
        <v>81</v>
      </c>
      <c r="J51" s="4">
        <v>46134</v>
      </c>
      <c r="K51" s="4">
        <v>46146</v>
      </c>
      <c r="L51" s="4">
        <v>46147</v>
      </c>
      <c r="M51" s="17">
        <f t="shared" si="0"/>
        <v>46143</v>
      </c>
      <c r="N51" s="17" t="str">
        <f t="shared" si="4"/>
        <v>May</v>
      </c>
      <c r="O51" s="10">
        <f t="shared" si="5"/>
        <v>5</v>
      </c>
      <c r="P51" s="10">
        <f>TravelExpenseTable[[#This Row],[Departure_Date]]-TravelExpenseTable[[#This Row],[Booking_Date]]</f>
        <v>12</v>
      </c>
      <c r="Q51" s="10">
        <f>TravelExpenseTable[[#This Row],[Return_Date]]-TravelExpenseTable[[#This Row],[Departure_Date]]</f>
        <v>1</v>
      </c>
      <c r="R51" s="41" t="s">
        <v>98</v>
      </c>
      <c r="S51" s="41" t="s">
        <v>71</v>
      </c>
      <c r="T51" s="5">
        <v>589.29</v>
      </c>
      <c r="U51" s="5">
        <v>159.77000000000001</v>
      </c>
      <c r="V51" s="5">
        <v>109.5</v>
      </c>
      <c r="W51" s="5">
        <v>99.94</v>
      </c>
      <c r="X51" s="5">
        <v>47.19</v>
      </c>
      <c r="Y51" s="6">
        <f>SUM(TravelExpenseTable[[#This Row],[Airfare_USD]],,,TravelExpenseTable[[#This Row],[Hotel_USD]],TravelExpenseTable[[#This Row],[Ground_Transport_USD]],TravelExpenseTable[[#This Row],[Meals_USD]],TravelExpenseTable[[#This Row],[Other_Expenses_USD]])</f>
        <v>1005.69</v>
      </c>
      <c r="Z51" s="5">
        <v>999.97</v>
      </c>
      <c r="AA51" s="6">
        <f>TravelExpenseTable[[#This Row],[Budget_USD]]-TravelExpenseTable[[#This Row],[Total_Actual_USD]]</f>
        <v>-5.7200000000000273</v>
      </c>
      <c r="AB51" s="13">
        <f>TravelExpenseTable[[#This Row],[Budget_Variance_USD]]/TravelExpenseTable[[#This Row],[Budget_USD]]</f>
        <v>-5.7201716051481812E-3</v>
      </c>
      <c r="AC51" s="6" t="str">
        <f t="shared" si="6"/>
        <v>Over Budget</v>
      </c>
      <c r="AD51" s="41" t="s">
        <v>50</v>
      </c>
      <c r="AE51" s="41" t="s">
        <v>92</v>
      </c>
      <c r="AF51" s="41" t="s">
        <v>52</v>
      </c>
      <c r="AG51" s="41" t="s">
        <v>53</v>
      </c>
      <c r="AH51" s="41"/>
    </row>
    <row r="52" spans="1:34">
      <c r="A52" s="41" t="s">
        <v>186</v>
      </c>
      <c r="B52" s="41" t="s">
        <v>176</v>
      </c>
      <c r="C52" s="41" t="s">
        <v>66</v>
      </c>
      <c r="D52" s="41" t="s">
        <v>124</v>
      </c>
      <c r="E52" s="41" t="s">
        <v>43</v>
      </c>
      <c r="F52" s="41" t="s">
        <v>96</v>
      </c>
      <c r="G52" s="41" t="s">
        <v>45</v>
      </c>
      <c r="H52" s="41" t="s">
        <v>69</v>
      </c>
      <c r="I52" s="41" t="s">
        <v>76</v>
      </c>
      <c r="J52" s="4">
        <v>46143</v>
      </c>
      <c r="K52" s="4">
        <v>46185</v>
      </c>
      <c r="L52" s="4">
        <v>46188</v>
      </c>
      <c r="M52" s="17">
        <f t="shared" si="0"/>
        <v>46174</v>
      </c>
      <c r="N52" s="17" t="str">
        <f t="shared" si="4"/>
        <v>Jun</v>
      </c>
      <c r="O52" s="10">
        <f t="shared" si="5"/>
        <v>6</v>
      </c>
      <c r="P52" s="10">
        <f>TravelExpenseTable[[#This Row],[Departure_Date]]-TravelExpenseTable[[#This Row],[Booking_Date]]</f>
        <v>42</v>
      </c>
      <c r="Q52" s="10">
        <f>TravelExpenseTable[[#This Row],[Return_Date]]-TravelExpenseTable[[#This Row],[Departure_Date]]</f>
        <v>3</v>
      </c>
      <c r="R52" s="41" t="s">
        <v>102</v>
      </c>
      <c r="S52" s="41" t="s">
        <v>77</v>
      </c>
      <c r="T52" s="5">
        <v>340.52</v>
      </c>
      <c r="U52" s="5">
        <v>743.87</v>
      </c>
      <c r="V52" s="5">
        <v>210.6</v>
      </c>
      <c r="W52" s="5">
        <v>219.79</v>
      </c>
      <c r="X52" s="5">
        <v>88.67</v>
      </c>
      <c r="Y52" s="6">
        <f>SUM(TravelExpenseTable[[#This Row],[Airfare_USD]],,,TravelExpenseTable[[#This Row],[Hotel_USD]],TravelExpenseTable[[#This Row],[Ground_Transport_USD]],TravelExpenseTable[[#This Row],[Meals_USD]],TravelExpenseTable[[#This Row],[Other_Expenses_USD]])</f>
        <v>1603.4499999999998</v>
      </c>
      <c r="Z52" s="5">
        <v>1457.79</v>
      </c>
      <c r="AA52" s="6">
        <f>TravelExpenseTable[[#This Row],[Budget_USD]]-TravelExpenseTable[[#This Row],[Total_Actual_USD]]</f>
        <v>-145.65999999999985</v>
      </c>
      <c r="AB52" s="13">
        <f>TravelExpenseTable[[#This Row],[Budget_Variance_USD]]/TravelExpenseTable[[#This Row],[Budget_USD]]</f>
        <v>-9.9918369586840264E-2</v>
      </c>
      <c r="AC52" s="6" t="str">
        <f t="shared" si="6"/>
        <v>Over Budget</v>
      </c>
      <c r="AD52" s="41" t="s">
        <v>51</v>
      </c>
      <c r="AE52" s="41" t="s">
        <v>50</v>
      </c>
      <c r="AF52" s="41" t="s">
        <v>52</v>
      </c>
      <c r="AG52" s="41" t="s">
        <v>53</v>
      </c>
      <c r="AH52" s="41"/>
    </row>
    <row r="53" spans="1:34">
      <c r="A53" s="41" t="s">
        <v>187</v>
      </c>
      <c r="B53" s="41" t="s">
        <v>79</v>
      </c>
      <c r="C53" s="41" t="s">
        <v>41</v>
      </c>
      <c r="D53" s="41" t="s">
        <v>42</v>
      </c>
      <c r="E53" s="41" t="s">
        <v>43</v>
      </c>
      <c r="F53" s="41" t="s">
        <v>120</v>
      </c>
      <c r="G53" s="41" t="s">
        <v>59</v>
      </c>
      <c r="H53" s="41" t="s">
        <v>97</v>
      </c>
      <c r="I53" s="41" t="s">
        <v>47</v>
      </c>
      <c r="J53" s="4">
        <v>46122</v>
      </c>
      <c r="K53" s="4">
        <v>46134</v>
      </c>
      <c r="L53" s="4">
        <v>46141</v>
      </c>
      <c r="M53" s="17">
        <f t="shared" si="0"/>
        <v>46113</v>
      </c>
      <c r="N53" s="17" t="str">
        <f t="shared" si="4"/>
        <v>Apr</v>
      </c>
      <c r="O53" s="10">
        <f t="shared" si="5"/>
        <v>4</v>
      </c>
      <c r="P53" s="10">
        <f>TravelExpenseTable[[#This Row],[Departure_Date]]-TravelExpenseTable[[#This Row],[Booking_Date]]</f>
        <v>12</v>
      </c>
      <c r="Q53" s="10">
        <f>TravelExpenseTable[[#This Row],[Return_Date]]-TravelExpenseTable[[#This Row],[Departure_Date]]</f>
        <v>7</v>
      </c>
      <c r="R53" s="41" t="s">
        <v>188</v>
      </c>
      <c r="S53" s="41" t="s">
        <v>82</v>
      </c>
      <c r="T53" s="5">
        <v>1377.22</v>
      </c>
      <c r="U53" s="5">
        <v>2578.94</v>
      </c>
      <c r="V53" s="5">
        <v>139.94</v>
      </c>
      <c r="W53" s="5">
        <v>674.92</v>
      </c>
      <c r="X53" s="5">
        <v>39.11</v>
      </c>
      <c r="Y53" s="6">
        <f>SUM(TravelExpenseTable[[#This Row],[Airfare_USD]],,,TravelExpenseTable[[#This Row],[Hotel_USD]],TravelExpenseTable[[#This Row],[Ground_Transport_USD]],TravelExpenseTable[[#This Row],[Meals_USD]],TravelExpenseTable[[#This Row],[Other_Expenses_USD]])</f>
        <v>4810.1299999999992</v>
      </c>
      <c r="Z53" s="5">
        <v>4874.63</v>
      </c>
      <c r="AA53" s="6">
        <f>TravelExpenseTable[[#This Row],[Budget_USD]]-TravelExpenseTable[[#This Row],[Total_Actual_USD]]</f>
        <v>64.500000000000909</v>
      </c>
      <c r="AB53" s="13">
        <f>TravelExpenseTable[[#This Row],[Budget_Variance_USD]]/TravelExpenseTable[[#This Row],[Budget_USD]]</f>
        <v>1.3231773488449566E-2</v>
      </c>
      <c r="AC53" s="6" t="str">
        <f t="shared" si="6"/>
        <v>Within Budget</v>
      </c>
      <c r="AD53" s="41" t="s">
        <v>50</v>
      </c>
      <c r="AE53" s="41" t="s">
        <v>83</v>
      </c>
      <c r="AF53" s="41" t="s">
        <v>52</v>
      </c>
      <c r="AG53" s="41" t="s">
        <v>53</v>
      </c>
      <c r="AH53" s="41"/>
    </row>
    <row r="54" spans="1:34">
      <c r="A54" s="55" t="s">
        <v>189</v>
      </c>
      <c r="B54" s="55" t="s">
        <v>79</v>
      </c>
      <c r="C54" s="55" t="s">
        <v>41</v>
      </c>
      <c r="D54" s="55" t="s">
        <v>42</v>
      </c>
      <c r="E54" s="55" t="s">
        <v>43</v>
      </c>
      <c r="F54" s="55" t="s">
        <v>120</v>
      </c>
      <c r="G54" s="55" t="s">
        <v>59</v>
      </c>
      <c r="H54" s="55" t="s">
        <v>97</v>
      </c>
      <c r="I54" s="55" t="s">
        <v>76</v>
      </c>
      <c r="J54" s="56">
        <v>46186</v>
      </c>
      <c r="K54" s="56">
        <v>46192</v>
      </c>
      <c r="L54" s="56">
        <v>46197</v>
      </c>
      <c r="M54" s="57">
        <f t="shared" si="0"/>
        <v>46174</v>
      </c>
      <c r="N54" s="57" t="str">
        <f t="shared" si="4"/>
        <v>Jun</v>
      </c>
      <c r="O54" s="58">
        <f t="shared" si="5"/>
        <v>6</v>
      </c>
      <c r="P54" s="58">
        <f>TravelExpenseTable[[#This Row],[Departure_Date]]-TravelExpenseTable[[#This Row],[Booking_Date]]</f>
        <v>6</v>
      </c>
      <c r="Q54" s="58">
        <f>TravelExpenseTable[[#This Row],[Return_Date]]-TravelExpenseTable[[#This Row],[Departure_Date]]</f>
        <v>5</v>
      </c>
      <c r="R54" s="55" t="s">
        <v>121</v>
      </c>
      <c r="S54" s="55" t="s">
        <v>91</v>
      </c>
      <c r="T54" s="59">
        <v>2452.02</v>
      </c>
      <c r="U54" s="59">
        <v>1037.0899999999999</v>
      </c>
      <c r="V54" s="59">
        <v>123.03</v>
      </c>
      <c r="W54" s="59">
        <v>466.85</v>
      </c>
      <c r="X54" s="59">
        <v>174.8</v>
      </c>
      <c r="Y54" s="60">
        <f>SUM(TravelExpenseTable[[#This Row],[Airfare_USD]],,,TravelExpenseTable[[#This Row],[Hotel_USD]],TravelExpenseTable[[#This Row],[Ground_Transport_USD]],TravelExpenseTable[[#This Row],[Meals_USD]],TravelExpenseTable[[#This Row],[Other_Expenses_USD]])</f>
        <v>4253.79</v>
      </c>
      <c r="Z54" s="59">
        <v>3807.88</v>
      </c>
      <c r="AA54" s="60">
        <f>TravelExpenseTable[[#This Row],[Budget_USD]]-TravelExpenseTable[[#This Row],[Total_Actual_USD]]</f>
        <v>-445.90999999999985</v>
      </c>
      <c r="AB54" s="61">
        <f>TravelExpenseTable[[#This Row],[Budget_Variance_USD]]/TravelExpenseTable[[#This Row],[Budget_USD]]</f>
        <v>-0.11710190447177952</v>
      </c>
      <c r="AC54" s="60" t="str">
        <f t="shared" si="6"/>
        <v>Over Budget</v>
      </c>
      <c r="AD54" s="55" t="s">
        <v>50</v>
      </c>
      <c r="AE54" s="55" t="s">
        <v>50</v>
      </c>
      <c r="AF54" s="55" t="s">
        <v>53</v>
      </c>
      <c r="AG54" s="55" t="s">
        <v>52</v>
      </c>
      <c r="AH54" s="55" t="s">
        <v>150</v>
      </c>
    </row>
    <row r="55" spans="1:34">
      <c r="A55" s="55" t="s">
        <v>190</v>
      </c>
      <c r="B55" s="55" t="s">
        <v>55</v>
      </c>
      <c r="C55" s="55" t="s">
        <v>56</v>
      </c>
      <c r="D55" s="55" t="s">
        <v>57</v>
      </c>
      <c r="E55" s="55" t="s">
        <v>43</v>
      </c>
      <c r="F55" s="55" t="s">
        <v>120</v>
      </c>
      <c r="G55" s="55" t="s">
        <v>59</v>
      </c>
      <c r="H55" s="55" t="s">
        <v>69</v>
      </c>
      <c r="I55" s="55" t="s">
        <v>47</v>
      </c>
      <c r="J55" s="56">
        <v>46064</v>
      </c>
      <c r="K55" s="56">
        <v>46080</v>
      </c>
      <c r="L55" s="56">
        <v>46087</v>
      </c>
      <c r="M55" s="57">
        <f t="shared" si="0"/>
        <v>46054</v>
      </c>
      <c r="N55" s="57" t="str">
        <f t="shared" si="4"/>
        <v>Feb</v>
      </c>
      <c r="O55" s="58">
        <f t="shared" si="5"/>
        <v>2</v>
      </c>
      <c r="P55" s="58">
        <f>TravelExpenseTable[[#This Row],[Departure_Date]]-TravelExpenseTable[[#This Row],[Booking_Date]]</f>
        <v>16</v>
      </c>
      <c r="Q55" s="58">
        <f>TravelExpenseTable[[#This Row],[Return_Date]]-TravelExpenseTable[[#This Row],[Departure_Date]]</f>
        <v>7</v>
      </c>
      <c r="R55" s="55" t="s">
        <v>121</v>
      </c>
      <c r="S55" s="55" t="s">
        <v>138</v>
      </c>
      <c r="T55" s="59">
        <v>1355.58</v>
      </c>
      <c r="U55" s="59">
        <v>1698.78</v>
      </c>
      <c r="V55" s="59">
        <v>316.01</v>
      </c>
      <c r="W55" s="59">
        <v>799.76</v>
      </c>
      <c r="X55" s="59">
        <v>97.24</v>
      </c>
      <c r="Y55" s="60">
        <f>SUM(TravelExpenseTable[[#This Row],[Airfare_USD]],,,TravelExpenseTable[[#This Row],[Hotel_USD]],TravelExpenseTable[[#This Row],[Ground_Transport_USD]],TravelExpenseTable[[#This Row],[Meals_USD]],TravelExpenseTable[[#This Row],[Other_Expenses_USD]])</f>
        <v>4267.37</v>
      </c>
      <c r="Z55" s="59">
        <v>4777.55</v>
      </c>
      <c r="AA55" s="60">
        <f>TravelExpenseTable[[#This Row],[Budget_USD]]-TravelExpenseTable[[#This Row],[Total_Actual_USD]]</f>
        <v>510.18000000000029</v>
      </c>
      <c r="AB55" s="61">
        <f>TravelExpenseTable[[#This Row],[Budget_Variance_USD]]/TravelExpenseTable[[#This Row],[Budget_USD]]</f>
        <v>0.10678695147094228</v>
      </c>
      <c r="AC55" s="60" t="str">
        <f t="shared" si="6"/>
        <v>Within Budget</v>
      </c>
      <c r="AD55" s="55" t="s">
        <v>50</v>
      </c>
      <c r="AE55" s="55" t="s">
        <v>51</v>
      </c>
      <c r="AF55" s="55" t="s">
        <v>53</v>
      </c>
      <c r="AG55" s="55" t="s">
        <v>52</v>
      </c>
      <c r="AH55" s="55" t="s">
        <v>63</v>
      </c>
    </row>
    <row r="56" spans="1:34">
      <c r="A56" s="41" t="s">
        <v>191</v>
      </c>
      <c r="B56" s="41" t="s">
        <v>85</v>
      </c>
      <c r="C56" s="41" t="s">
        <v>41</v>
      </c>
      <c r="D56" s="41" t="s">
        <v>86</v>
      </c>
      <c r="E56" s="41" t="s">
        <v>43</v>
      </c>
      <c r="F56" s="41" t="s">
        <v>133</v>
      </c>
      <c r="G56" s="41" t="s">
        <v>45</v>
      </c>
      <c r="H56" s="41" t="s">
        <v>116</v>
      </c>
      <c r="I56" s="41" t="s">
        <v>60</v>
      </c>
      <c r="J56" s="4">
        <v>46012</v>
      </c>
      <c r="K56" s="4">
        <v>46031</v>
      </c>
      <c r="L56" s="4">
        <v>46033</v>
      </c>
      <c r="M56" s="17">
        <f t="shared" si="0"/>
        <v>46023</v>
      </c>
      <c r="N56" s="17" t="str">
        <f t="shared" si="4"/>
        <v>Jan</v>
      </c>
      <c r="O56" s="10">
        <f t="shared" si="5"/>
        <v>1</v>
      </c>
      <c r="P56" s="10">
        <f>TravelExpenseTable[[#This Row],[Departure_Date]]-TravelExpenseTable[[#This Row],[Booking_Date]]</f>
        <v>19</v>
      </c>
      <c r="Q56" s="10">
        <f>TravelExpenseTable[[#This Row],[Return_Date]]-TravelExpenseTable[[#This Row],[Departure_Date]]</f>
        <v>2</v>
      </c>
      <c r="R56" s="41" t="s">
        <v>70</v>
      </c>
      <c r="S56" s="41" t="s">
        <v>49</v>
      </c>
      <c r="T56" s="5">
        <v>635.03</v>
      </c>
      <c r="U56" s="5">
        <v>432.4</v>
      </c>
      <c r="V56" s="5">
        <v>181.15</v>
      </c>
      <c r="W56" s="5">
        <v>171.59</v>
      </c>
      <c r="X56" s="5">
        <v>19.63</v>
      </c>
      <c r="Y56" s="6">
        <f>SUM(TravelExpenseTable[[#This Row],[Airfare_USD]],,,TravelExpenseTable[[#This Row],[Hotel_USD]],TravelExpenseTable[[#This Row],[Ground_Transport_USD]],TravelExpenseTable[[#This Row],[Meals_USD]],TravelExpenseTable[[#This Row],[Other_Expenses_USD]])</f>
        <v>1439.8</v>
      </c>
      <c r="Z56" s="5">
        <v>1484.65</v>
      </c>
      <c r="AA56" s="6">
        <f>TravelExpenseTable[[#This Row],[Budget_USD]]-TravelExpenseTable[[#This Row],[Total_Actual_USD]]</f>
        <v>44.850000000000136</v>
      </c>
      <c r="AB56" s="13">
        <f>TravelExpenseTable[[#This Row],[Budget_Variance_USD]]/TravelExpenseTable[[#This Row],[Budget_USD]]</f>
        <v>3.0209140201394358E-2</v>
      </c>
      <c r="AC56" s="6" t="str">
        <f t="shared" si="6"/>
        <v>Within Budget</v>
      </c>
      <c r="AD56" s="41" t="s">
        <v>51</v>
      </c>
      <c r="AE56" s="41" t="s">
        <v>92</v>
      </c>
      <c r="AF56" s="41" t="s">
        <v>52</v>
      </c>
      <c r="AG56" s="41" t="s">
        <v>53</v>
      </c>
      <c r="AH56" s="41"/>
    </row>
    <row r="57" spans="1:34">
      <c r="A57" s="41" t="s">
        <v>192</v>
      </c>
      <c r="B57" s="41" t="s">
        <v>110</v>
      </c>
      <c r="C57" s="41" t="s">
        <v>41</v>
      </c>
      <c r="D57" s="41" t="s">
        <v>111</v>
      </c>
      <c r="E57" s="41" t="s">
        <v>43</v>
      </c>
      <c r="F57" s="41" t="s">
        <v>157</v>
      </c>
      <c r="G57" s="41" t="s">
        <v>45</v>
      </c>
      <c r="H57" s="41" t="s">
        <v>108</v>
      </c>
      <c r="I57" s="41" t="s">
        <v>60</v>
      </c>
      <c r="J57" s="4">
        <v>46138</v>
      </c>
      <c r="K57" s="4">
        <v>46144</v>
      </c>
      <c r="L57" s="4">
        <v>46145</v>
      </c>
      <c r="M57" s="17">
        <f t="shared" si="0"/>
        <v>46143</v>
      </c>
      <c r="N57" s="17" t="str">
        <f t="shared" si="4"/>
        <v>May</v>
      </c>
      <c r="O57" s="10">
        <f t="shared" si="5"/>
        <v>5</v>
      </c>
      <c r="P57" s="10">
        <f>TravelExpenseTable[[#This Row],[Departure_Date]]-TravelExpenseTable[[#This Row],[Booking_Date]]</f>
        <v>6</v>
      </c>
      <c r="Q57" s="10">
        <f>TravelExpenseTable[[#This Row],[Return_Date]]-TravelExpenseTable[[#This Row],[Departure_Date]]</f>
        <v>1</v>
      </c>
      <c r="R57" s="41" t="s">
        <v>98</v>
      </c>
      <c r="S57" s="41" t="s">
        <v>49</v>
      </c>
      <c r="T57" s="5">
        <v>886.63</v>
      </c>
      <c r="U57" s="5">
        <v>152.93</v>
      </c>
      <c r="V57" s="5">
        <v>151.44999999999999</v>
      </c>
      <c r="W57" s="5">
        <v>58.94</v>
      </c>
      <c r="X57" s="5">
        <v>49.5</v>
      </c>
      <c r="Y57" s="6">
        <f>SUM(TravelExpenseTable[[#This Row],[Airfare_USD]],,,TravelExpenseTable[[#This Row],[Hotel_USD]],TravelExpenseTable[[#This Row],[Ground_Transport_USD]],TravelExpenseTable[[#This Row],[Meals_USD]],TravelExpenseTable[[#This Row],[Other_Expenses_USD]])</f>
        <v>1299.45</v>
      </c>
      <c r="Z57" s="5">
        <v>1390.31</v>
      </c>
      <c r="AA57" s="6">
        <f>TravelExpenseTable[[#This Row],[Budget_USD]]-TravelExpenseTable[[#This Row],[Total_Actual_USD]]</f>
        <v>90.8599999999999</v>
      </c>
      <c r="AB57" s="13">
        <f>TravelExpenseTable[[#This Row],[Budget_Variance_USD]]/TravelExpenseTable[[#This Row],[Budget_USD]]</f>
        <v>6.5352331494414842E-2</v>
      </c>
      <c r="AC57" s="6" t="str">
        <f t="shared" si="6"/>
        <v>Within Budget</v>
      </c>
      <c r="AD57" s="41" t="s">
        <v>51</v>
      </c>
      <c r="AE57" s="41" t="s">
        <v>51</v>
      </c>
      <c r="AF57" s="41" t="s">
        <v>52</v>
      </c>
      <c r="AG57" s="41" t="s">
        <v>53</v>
      </c>
      <c r="AH57" s="41"/>
    </row>
    <row r="58" spans="1:34">
      <c r="A58" s="55" t="s">
        <v>193</v>
      </c>
      <c r="B58" s="55" t="s">
        <v>110</v>
      </c>
      <c r="C58" s="55" t="s">
        <v>41</v>
      </c>
      <c r="D58" s="55" t="s">
        <v>111</v>
      </c>
      <c r="E58" s="55" t="s">
        <v>43</v>
      </c>
      <c r="F58" s="55" t="s">
        <v>157</v>
      </c>
      <c r="G58" s="55" t="s">
        <v>45</v>
      </c>
      <c r="H58" s="55" t="s">
        <v>112</v>
      </c>
      <c r="I58" s="55" t="s">
        <v>81</v>
      </c>
      <c r="J58" s="56">
        <v>46134</v>
      </c>
      <c r="K58" s="56">
        <v>46143</v>
      </c>
      <c r="L58" s="56">
        <v>46147</v>
      </c>
      <c r="M58" s="57">
        <f t="shared" si="0"/>
        <v>46143</v>
      </c>
      <c r="N58" s="57" t="str">
        <f t="shared" si="4"/>
        <v>May</v>
      </c>
      <c r="O58" s="58">
        <f t="shared" si="5"/>
        <v>5</v>
      </c>
      <c r="P58" s="58">
        <f>TravelExpenseTable[[#This Row],[Departure_Date]]-TravelExpenseTable[[#This Row],[Booking_Date]]</f>
        <v>9</v>
      </c>
      <c r="Q58" s="58">
        <f>TravelExpenseTable[[#This Row],[Return_Date]]-TravelExpenseTable[[#This Row],[Departure_Date]]</f>
        <v>4</v>
      </c>
      <c r="R58" s="55" t="s">
        <v>48</v>
      </c>
      <c r="S58" s="55" t="s">
        <v>91</v>
      </c>
      <c r="T58" s="59">
        <v>890.01</v>
      </c>
      <c r="U58" s="59">
        <v>1089.55</v>
      </c>
      <c r="V58" s="59">
        <v>114.78</v>
      </c>
      <c r="W58" s="59">
        <v>395.11</v>
      </c>
      <c r="X58" s="59">
        <v>56.26</v>
      </c>
      <c r="Y58" s="60">
        <f>SUM(TravelExpenseTable[[#This Row],[Airfare_USD]],,,TravelExpenseTable[[#This Row],[Hotel_USD]],TravelExpenseTable[[#This Row],[Ground_Transport_USD]],TravelExpenseTable[[#This Row],[Meals_USD]],TravelExpenseTable[[#This Row],[Other_Expenses_USD]])</f>
        <v>2545.7100000000005</v>
      </c>
      <c r="Z58" s="59">
        <v>2478.9</v>
      </c>
      <c r="AA58" s="60">
        <f>TravelExpenseTable[[#This Row],[Budget_USD]]-TravelExpenseTable[[#This Row],[Total_Actual_USD]]</f>
        <v>-66.8100000000004</v>
      </c>
      <c r="AB58" s="61">
        <f>TravelExpenseTable[[#This Row],[Budget_Variance_USD]]/TravelExpenseTable[[#This Row],[Budget_USD]]</f>
        <v>-2.6951470410262777E-2</v>
      </c>
      <c r="AC58" s="60" t="str">
        <f t="shared" si="6"/>
        <v>Over Budget</v>
      </c>
      <c r="AD58" s="55" t="s">
        <v>50</v>
      </c>
      <c r="AE58" s="55" t="s">
        <v>83</v>
      </c>
      <c r="AF58" s="55" t="s">
        <v>53</v>
      </c>
      <c r="AG58" s="55" t="s">
        <v>52</v>
      </c>
      <c r="AH58" s="55" t="s">
        <v>63</v>
      </c>
    </row>
    <row r="59" spans="1:34">
      <c r="A59" s="41" t="s">
        <v>194</v>
      </c>
      <c r="B59" s="41" t="s">
        <v>55</v>
      </c>
      <c r="C59" s="41" t="s">
        <v>56</v>
      </c>
      <c r="D59" s="41" t="s">
        <v>57</v>
      </c>
      <c r="E59" s="41" t="s">
        <v>43</v>
      </c>
      <c r="F59" s="41" t="s">
        <v>74</v>
      </c>
      <c r="G59" s="41" t="s">
        <v>45</v>
      </c>
      <c r="H59" s="41" t="s">
        <v>112</v>
      </c>
      <c r="I59" s="41" t="s">
        <v>60</v>
      </c>
      <c r="J59" s="4">
        <v>46018</v>
      </c>
      <c r="K59" s="4">
        <v>46048</v>
      </c>
      <c r="L59" s="4">
        <v>46049</v>
      </c>
      <c r="M59" s="17">
        <f t="shared" si="0"/>
        <v>46023</v>
      </c>
      <c r="N59" s="17" t="str">
        <f t="shared" si="4"/>
        <v>Jan</v>
      </c>
      <c r="O59" s="10">
        <f t="shared" si="5"/>
        <v>1</v>
      </c>
      <c r="P59" s="10">
        <f>TravelExpenseTable[[#This Row],[Departure_Date]]-TravelExpenseTable[[#This Row],[Booking_Date]]</f>
        <v>30</v>
      </c>
      <c r="Q59" s="10">
        <f>TravelExpenseTable[[#This Row],[Return_Date]]-TravelExpenseTable[[#This Row],[Departure_Date]]</f>
        <v>1</v>
      </c>
      <c r="R59" s="41" t="s">
        <v>121</v>
      </c>
      <c r="S59" s="41" t="s">
        <v>138</v>
      </c>
      <c r="T59" s="5">
        <v>493.21</v>
      </c>
      <c r="U59" s="5">
        <v>192.74</v>
      </c>
      <c r="V59" s="5">
        <v>66.39</v>
      </c>
      <c r="W59" s="5">
        <v>76.22</v>
      </c>
      <c r="X59" s="5">
        <v>119.76</v>
      </c>
      <c r="Y59" s="6">
        <f>SUM(TravelExpenseTable[[#This Row],[Airfare_USD]],,,TravelExpenseTable[[#This Row],[Hotel_USD]],TravelExpenseTable[[#This Row],[Ground_Transport_USD]],TravelExpenseTable[[#This Row],[Meals_USD]],TravelExpenseTable[[#This Row],[Other_Expenses_USD]])</f>
        <v>948.32</v>
      </c>
      <c r="Z59" s="5">
        <v>1047.97</v>
      </c>
      <c r="AA59" s="6">
        <f>TravelExpenseTable[[#This Row],[Budget_USD]]-TravelExpenseTable[[#This Row],[Total_Actual_USD]]</f>
        <v>99.649999999999977</v>
      </c>
      <c r="AB59" s="13">
        <f>TravelExpenseTable[[#This Row],[Budget_Variance_USD]]/TravelExpenseTable[[#This Row],[Budget_USD]]</f>
        <v>9.5088599864499912E-2</v>
      </c>
      <c r="AC59" s="6" t="str">
        <f t="shared" si="6"/>
        <v>Within Budget</v>
      </c>
      <c r="AD59" s="41" t="s">
        <v>50</v>
      </c>
      <c r="AE59" s="41" t="s">
        <v>83</v>
      </c>
      <c r="AF59" s="41" t="s">
        <v>52</v>
      </c>
      <c r="AG59" s="41" t="s">
        <v>53</v>
      </c>
      <c r="AH59" s="41"/>
    </row>
    <row r="60" spans="1:34">
      <c r="A60" s="41" t="s">
        <v>195</v>
      </c>
      <c r="B60" s="41" t="s">
        <v>196</v>
      </c>
      <c r="C60" s="41" t="s">
        <v>41</v>
      </c>
      <c r="D60" s="41" t="s">
        <v>111</v>
      </c>
      <c r="E60" s="41" t="s">
        <v>43</v>
      </c>
      <c r="F60" s="41" t="s">
        <v>68</v>
      </c>
      <c r="G60" s="41" t="s">
        <v>45</v>
      </c>
      <c r="H60" s="41" t="s">
        <v>108</v>
      </c>
      <c r="I60" s="41" t="s">
        <v>81</v>
      </c>
      <c r="J60" s="4">
        <v>46162</v>
      </c>
      <c r="K60" s="4">
        <v>46174</v>
      </c>
      <c r="L60" s="4">
        <v>46176</v>
      </c>
      <c r="M60" s="17">
        <f t="shared" si="0"/>
        <v>46174</v>
      </c>
      <c r="N60" s="17" t="str">
        <f t="shared" si="4"/>
        <v>Jun</v>
      </c>
      <c r="O60" s="10">
        <f t="shared" si="5"/>
        <v>6</v>
      </c>
      <c r="P60" s="10">
        <f>TravelExpenseTable[[#This Row],[Departure_Date]]-TravelExpenseTable[[#This Row],[Booking_Date]]</f>
        <v>12</v>
      </c>
      <c r="Q60" s="10">
        <f>TravelExpenseTable[[#This Row],[Return_Date]]-TravelExpenseTable[[#This Row],[Departure_Date]]</f>
        <v>2</v>
      </c>
      <c r="R60" s="41" t="s">
        <v>70</v>
      </c>
      <c r="S60" s="41" t="s">
        <v>82</v>
      </c>
      <c r="T60" s="5">
        <v>662.01</v>
      </c>
      <c r="U60" s="5">
        <v>369.14</v>
      </c>
      <c r="V60" s="5">
        <v>84.58</v>
      </c>
      <c r="W60" s="5">
        <v>161.49</v>
      </c>
      <c r="X60" s="5">
        <v>100.97</v>
      </c>
      <c r="Y60" s="6">
        <f>SUM(TravelExpenseTable[[#This Row],[Airfare_USD]],,,TravelExpenseTable[[#This Row],[Hotel_USD]],TravelExpenseTable[[#This Row],[Ground_Transport_USD]],TravelExpenseTable[[#This Row],[Meals_USD]],TravelExpenseTable[[#This Row],[Other_Expenses_USD]])</f>
        <v>1378.19</v>
      </c>
      <c r="Z60" s="5">
        <v>1530.11</v>
      </c>
      <c r="AA60" s="6">
        <f>TravelExpenseTable[[#This Row],[Budget_USD]]-TravelExpenseTable[[#This Row],[Total_Actual_USD]]</f>
        <v>151.91999999999985</v>
      </c>
      <c r="AB60" s="13">
        <f>TravelExpenseTable[[#This Row],[Budget_Variance_USD]]/TravelExpenseTable[[#This Row],[Budget_USD]]</f>
        <v>9.9286979367496364E-2</v>
      </c>
      <c r="AC60" s="6" t="str">
        <f t="shared" si="6"/>
        <v>Within Budget</v>
      </c>
      <c r="AD60" s="41" t="s">
        <v>51</v>
      </c>
      <c r="AE60" s="41" t="s">
        <v>50</v>
      </c>
      <c r="AF60" s="41" t="s">
        <v>52</v>
      </c>
      <c r="AG60" s="41" t="s">
        <v>53</v>
      </c>
      <c r="AH60" s="41"/>
    </row>
    <row r="61" spans="1:34">
      <c r="A61" s="55" t="s">
        <v>197</v>
      </c>
      <c r="B61" s="55" t="s">
        <v>100</v>
      </c>
      <c r="C61" s="55" t="s">
        <v>41</v>
      </c>
      <c r="D61" s="55" t="s">
        <v>57</v>
      </c>
      <c r="E61" s="55" t="s">
        <v>43</v>
      </c>
      <c r="F61" s="55" t="s">
        <v>96</v>
      </c>
      <c r="G61" s="55" t="s">
        <v>45</v>
      </c>
      <c r="H61" s="55" t="s">
        <v>75</v>
      </c>
      <c r="I61" s="55" t="s">
        <v>76</v>
      </c>
      <c r="J61" s="56">
        <v>46178</v>
      </c>
      <c r="K61" s="56">
        <v>46182</v>
      </c>
      <c r="L61" s="56">
        <v>46185</v>
      </c>
      <c r="M61" s="57">
        <f t="shared" si="0"/>
        <v>46174</v>
      </c>
      <c r="N61" s="57" t="str">
        <f t="shared" si="4"/>
        <v>Jun</v>
      </c>
      <c r="O61" s="58">
        <f t="shared" si="5"/>
        <v>6</v>
      </c>
      <c r="P61" s="58">
        <f>TravelExpenseTable[[#This Row],[Departure_Date]]-TravelExpenseTable[[#This Row],[Booking_Date]]</f>
        <v>4</v>
      </c>
      <c r="Q61" s="58">
        <f>TravelExpenseTable[[#This Row],[Return_Date]]-TravelExpenseTable[[#This Row],[Departure_Date]]</f>
        <v>3</v>
      </c>
      <c r="R61" s="55" t="s">
        <v>121</v>
      </c>
      <c r="S61" s="55" t="s">
        <v>113</v>
      </c>
      <c r="T61" s="59">
        <v>510.7</v>
      </c>
      <c r="U61" s="59">
        <v>745.95</v>
      </c>
      <c r="V61" s="59">
        <v>160.04</v>
      </c>
      <c r="W61" s="59">
        <v>177.53</v>
      </c>
      <c r="X61" s="59">
        <v>133.37</v>
      </c>
      <c r="Y61" s="60">
        <f>SUM(TravelExpenseTable[[#This Row],[Airfare_USD]],,,TravelExpenseTable[[#This Row],[Hotel_USD]],TravelExpenseTable[[#This Row],[Ground_Transport_USD]],TravelExpenseTable[[#This Row],[Meals_USD]],TravelExpenseTable[[#This Row],[Other_Expenses_USD]])</f>
        <v>1727.5900000000001</v>
      </c>
      <c r="Z61" s="59">
        <v>2023.95</v>
      </c>
      <c r="AA61" s="60">
        <f>TravelExpenseTable[[#This Row],[Budget_USD]]-TravelExpenseTable[[#This Row],[Total_Actual_USD]]</f>
        <v>296.3599999999999</v>
      </c>
      <c r="AB61" s="61">
        <f>TravelExpenseTable[[#This Row],[Budget_Variance_USD]]/TravelExpenseTable[[#This Row],[Budget_USD]]</f>
        <v>0.14642654215766193</v>
      </c>
      <c r="AC61" s="60" t="str">
        <f t="shared" si="6"/>
        <v>Within Budget</v>
      </c>
      <c r="AD61" s="55" t="s">
        <v>50</v>
      </c>
      <c r="AE61" s="55" t="s">
        <v>51</v>
      </c>
      <c r="AF61" s="55" t="s">
        <v>52</v>
      </c>
      <c r="AG61" s="55" t="s">
        <v>52</v>
      </c>
      <c r="AH61" s="55" t="s">
        <v>150</v>
      </c>
    </row>
    <row r="62" spans="1:34">
      <c r="A62" s="41" t="s">
        <v>198</v>
      </c>
      <c r="B62" s="41" t="s">
        <v>132</v>
      </c>
      <c r="C62" s="41" t="s">
        <v>56</v>
      </c>
      <c r="D62" s="41" t="s">
        <v>42</v>
      </c>
      <c r="E62" s="41" t="s">
        <v>43</v>
      </c>
      <c r="F62" s="41" t="s">
        <v>125</v>
      </c>
      <c r="G62" s="41" t="s">
        <v>45</v>
      </c>
      <c r="H62" s="41" t="s">
        <v>112</v>
      </c>
      <c r="I62" s="41" t="s">
        <v>81</v>
      </c>
      <c r="J62" s="4">
        <v>46098</v>
      </c>
      <c r="K62" s="4">
        <v>46121</v>
      </c>
      <c r="L62" s="4">
        <v>46124</v>
      </c>
      <c r="M62" s="17">
        <f t="shared" si="0"/>
        <v>46113</v>
      </c>
      <c r="N62" s="17" t="str">
        <f t="shared" si="4"/>
        <v>Apr</v>
      </c>
      <c r="O62" s="10">
        <f t="shared" si="5"/>
        <v>4</v>
      </c>
      <c r="P62" s="10">
        <f>TravelExpenseTable[[#This Row],[Departure_Date]]-TravelExpenseTable[[#This Row],[Booking_Date]]</f>
        <v>23</v>
      </c>
      <c r="Q62" s="10">
        <f>TravelExpenseTable[[#This Row],[Return_Date]]-TravelExpenseTable[[#This Row],[Departure_Date]]</f>
        <v>3</v>
      </c>
      <c r="R62" s="41" t="s">
        <v>102</v>
      </c>
      <c r="S62" s="41" t="s">
        <v>138</v>
      </c>
      <c r="T62" s="5">
        <v>562.16999999999996</v>
      </c>
      <c r="U62" s="5">
        <v>1064.3800000000001</v>
      </c>
      <c r="V62" s="5">
        <v>92.62</v>
      </c>
      <c r="W62" s="5">
        <v>284.14999999999998</v>
      </c>
      <c r="X62" s="5">
        <v>87.42</v>
      </c>
      <c r="Y62" s="6">
        <f>SUM(TravelExpenseTable[[#This Row],[Airfare_USD]],,,TravelExpenseTable[[#This Row],[Hotel_USD]],TravelExpenseTable[[#This Row],[Ground_Transport_USD]],TravelExpenseTable[[#This Row],[Meals_USD]],TravelExpenseTable[[#This Row],[Other_Expenses_USD]])</f>
        <v>2090.7400000000002</v>
      </c>
      <c r="Z62" s="5">
        <v>2117.11</v>
      </c>
      <c r="AA62" s="6">
        <f>TravelExpenseTable[[#This Row],[Budget_USD]]-TravelExpenseTable[[#This Row],[Total_Actual_USD]]</f>
        <v>26.369999999999891</v>
      </c>
      <c r="AB62" s="13">
        <f>TravelExpenseTable[[#This Row],[Budget_Variance_USD]]/TravelExpenseTable[[#This Row],[Budget_USD]]</f>
        <v>1.2455658893491548E-2</v>
      </c>
      <c r="AC62" s="6" t="str">
        <f t="shared" si="6"/>
        <v>Within Budget</v>
      </c>
      <c r="AD62" s="41" t="s">
        <v>50</v>
      </c>
      <c r="AE62" s="41" t="s">
        <v>50</v>
      </c>
      <c r="AF62" s="41" t="s">
        <v>52</v>
      </c>
      <c r="AG62" s="41" t="s">
        <v>53</v>
      </c>
      <c r="AH62" s="41"/>
    </row>
    <row r="63" spans="1:34">
      <c r="A63" s="41" t="s">
        <v>199</v>
      </c>
      <c r="B63" s="41" t="s">
        <v>170</v>
      </c>
      <c r="C63" s="41" t="s">
        <v>95</v>
      </c>
      <c r="D63" s="41" t="s">
        <v>67</v>
      </c>
      <c r="E63" s="41" t="s">
        <v>43</v>
      </c>
      <c r="F63" s="41" t="s">
        <v>200</v>
      </c>
      <c r="G63" s="41" t="s">
        <v>45</v>
      </c>
      <c r="H63" s="41" t="s">
        <v>108</v>
      </c>
      <c r="I63" s="41" t="s">
        <v>81</v>
      </c>
      <c r="J63" s="4">
        <v>46116</v>
      </c>
      <c r="K63" s="4">
        <v>46137</v>
      </c>
      <c r="L63" s="4">
        <v>46138</v>
      </c>
      <c r="M63" s="17">
        <f t="shared" si="0"/>
        <v>46113</v>
      </c>
      <c r="N63" s="17" t="str">
        <f t="shared" si="4"/>
        <v>Apr</v>
      </c>
      <c r="O63" s="10">
        <f t="shared" si="5"/>
        <v>4</v>
      </c>
      <c r="P63" s="10">
        <f>TravelExpenseTable[[#This Row],[Departure_Date]]-TravelExpenseTable[[#This Row],[Booking_Date]]</f>
        <v>21</v>
      </c>
      <c r="Q63" s="10">
        <f>TravelExpenseTable[[#This Row],[Return_Date]]-TravelExpenseTable[[#This Row],[Departure_Date]]</f>
        <v>1</v>
      </c>
      <c r="R63" s="41" t="s">
        <v>48</v>
      </c>
      <c r="S63" s="41" t="s">
        <v>113</v>
      </c>
      <c r="T63" s="5">
        <v>435.3</v>
      </c>
      <c r="U63" s="5">
        <v>235.89</v>
      </c>
      <c r="V63" s="5">
        <v>46.35</v>
      </c>
      <c r="W63" s="5">
        <v>73.09</v>
      </c>
      <c r="X63" s="5">
        <v>38.020000000000003</v>
      </c>
      <c r="Y63" s="6">
        <f>SUM(TravelExpenseTable[[#This Row],[Airfare_USD]],,,TravelExpenseTable[[#This Row],[Hotel_USD]],TravelExpenseTable[[#This Row],[Ground_Transport_USD]],TravelExpenseTable[[#This Row],[Meals_USD]],TravelExpenseTable[[#This Row],[Other_Expenses_USD]])</f>
        <v>828.65000000000009</v>
      </c>
      <c r="Z63" s="5">
        <v>763.33</v>
      </c>
      <c r="AA63" s="6">
        <f>TravelExpenseTable[[#This Row],[Budget_USD]]-TravelExpenseTable[[#This Row],[Total_Actual_USD]]</f>
        <v>-65.32000000000005</v>
      </c>
      <c r="AB63" s="13">
        <f>TravelExpenseTable[[#This Row],[Budget_Variance_USD]]/TravelExpenseTable[[#This Row],[Budget_USD]]</f>
        <v>-8.5572426080463296E-2</v>
      </c>
      <c r="AC63" s="6" t="str">
        <f t="shared" si="6"/>
        <v>Over Budget</v>
      </c>
      <c r="AD63" s="41" t="s">
        <v>50</v>
      </c>
      <c r="AE63" s="41" t="s">
        <v>83</v>
      </c>
      <c r="AF63" s="41" t="s">
        <v>52</v>
      </c>
      <c r="AG63" s="41" t="s">
        <v>53</v>
      </c>
      <c r="AH63" s="41"/>
    </row>
    <row r="64" spans="1:34">
      <c r="A64" s="55" t="s">
        <v>201</v>
      </c>
      <c r="B64" s="55" t="s">
        <v>202</v>
      </c>
      <c r="C64" s="55" t="s">
        <v>56</v>
      </c>
      <c r="D64" s="55" t="s">
        <v>42</v>
      </c>
      <c r="E64" s="55" t="s">
        <v>43</v>
      </c>
      <c r="F64" s="55" t="s">
        <v>101</v>
      </c>
      <c r="G64" s="55" t="s">
        <v>59</v>
      </c>
      <c r="H64" s="55" t="s">
        <v>97</v>
      </c>
      <c r="I64" s="55" t="s">
        <v>60</v>
      </c>
      <c r="J64" s="56">
        <v>46126</v>
      </c>
      <c r="K64" s="56">
        <v>46137</v>
      </c>
      <c r="L64" s="56">
        <v>46141</v>
      </c>
      <c r="M64" s="57">
        <f t="shared" si="0"/>
        <v>46113</v>
      </c>
      <c r="N64" s="57" t="str">
        <f t="shared" si="4"/>
        <v>Apr</v>
      </c>
      <c r="O64" s="58">
        <f t="shared" si="5"/>
        <v>4</v>
      </c>
      <c r="P64" s="58">
        <f>TravelExpenseTable[[#This Row],[Departure_Date]]-TravelExpenseTable[[#This Row],[Booking_Date]]</f>
        <v>11</v>
      </c>
      <c r="Q64" s="58">
        <f>TravelExpenseTable[[#This Row],[Return_Date]]-TravelExpenseTable[[#This Row],[Departure_Date]]</f>
        <v>4</v>
      </c>
      <c r="R64" s="55" t="s">
        <v>61</v>
      </c>
      <c r="S64" s="55" t="s">
        <v>91</v>
      </c>
      <c r="T64" s="59">
        <v>1616.69</v>
      </c>
      <c r="U64" s="59">
        <v>1372.71</v>
      </c>
      <c r="V64" s="59">
        <v>88.02</v>
      </c>
      <c r="W64" s="59">
        <v>426.82</v>
      </c>
      <c r="X64" s="59">
        <v>7.61</v>
      </c>
      <c r="Y64" s="60">
        <f>SUM(TravelExpenseTable[[#This Row],[Airfare_USD]],,,TravelExpenseTable[[#This Row],[Hotel_USD]],TravelExpenseTable[[#This Row],[Ground_Transport_USD]],TravelExpenseTable[[#This Row],[Meals_USD]],TravelExpenseTable[[#This Row],[Other_Expenses_USD]])</f>
        <v>3511.8500000000004</v>
      </c>
      <c r="Z64" s="59">
        <v>3110.17</v>
      </c>
      <c r="AA64" s="60">
        <f>TravelExpenseTable[[#This Row],[Budget_USD]]-TravelExpenseTable[[#This Row],[Total_Actual_USD]]</f>
        <v>-401.68000000000029</v>
      </c>
      <c r="AB64" s="61">
        <f>TravelExpenseTable[[#This Row],[Budget_Variance_USD]]/TravelExpenseTable[[#This Row],[Budget_USD]]</f>
        <v>-0.12915049659664915</v>
      </c>
      <c r="AC64" s="60" t="str">
        <f t="shared" si="6"/>
        <v>Over Budget</v>
      </c>
      <c r="AD64" s="55" t="s">
        <v>50</v>
      </c>
      <c r="AE64" s="55" t="s">
        <v>83</v>
      </c>
      <c r="AF64" s="55" t="s">
        <v>52</v>
      </c>
      <c r="AG64" s="55" t="s">
        <v>52</v>
      </c>
      <c r="AH64" s="55" t="s">
        <v>117</v>
      </c>
    </row>
    <row r="65" spans="1:34">
      <c r="A65" s="41" t="s">
        <v>203</v>
      </c>
      <c r="B65" s="41" t="s">
        <v>174</v>
      </c>
      <c r="C65" s="41" t="s">
        <v>56</v>
      </c>
      <c r="D65" s="41" t="s">
        <v>67</v>
      </c>
      <c r="E65" s="41" t="s">
        <v>43</v>
      </c>
      <c r="F65" s="41" t="s">
        <v>68</v>
      </c>
      <c r="G65" s="41" t="s">
        <v>45</v>
      </c>
      <c r="H65" s="41" t="s">
        <v>75</v>
      </c>
      <c r="I65" s="41" t="s">
        <v>47</v>
      </c>
      <c r="J65" s="4">
        <v>46107</v>
      </c>
      <c r="K65" s="4">
        <v>46130</v>
      </c>
      <c r="L65" s="4">
        <v>46131</v>
      </c>
      <c r="M65" s="17">
        <f t="shared" si="0"/>
        <v>46113</v>
      </c>
      <c r="N65" s="17" t="str">
        <f t="shared" si="4"/>
        <v>Apr</v>
      </c>
      <c r="O65" s="10">
        <f t="shared" si="5"/>
        <v>4</v>
      </c>
      <c r="P65" s="10">
        <f>TravelExpenseTable[[#This Row],[Departure_Date]]-TravelExpenseTable[[#This Row],[Booking_Date]]</f>
        <v>23</v>
      </c>
      <c r="Q65" s="10">
        <f>TravelExpenseTable[[#This Row],[Return_Date]]-TravelExpenseTable[[#This Row],[Departure_Date]]</f>
        <v>1</v>
      </c>
      <c r="R65" s="41" t="s">
        <v>48</v>
      </c>
      <c r="S65" s="41" t="s">
        <v>77</v>
      </c>
      <c r="T65" s="5">
        <v>865.73</v>
      </c>
      <c r="U65" s="5">
        <v>275.12</v>
      </c>
      <c r="V65" s="5">
        <v>87.58</v>
      </c>
      <c r="W65" s="5">
        <v>90.33</v>
      </c>
      <c r="X65" s="5">
        <v>94.31</v>
      </c>
      <c r="Y65" s="6">
        <f>SUM(TravelExpenseTable[[#This Row],[Airfare_USD]],,,TravelExpenseTable[[#This Row],[Hotel_USD]],TravelExpenseTable[[#This Row],[Ground_Transport_USD]],TravelExpenseTable[[#This Row],[Meals_USD]],TravelExpenseTable[[#This Row],[Other_Expenses_USD]])</f>
        <v>1413.0699999999997</v>
      </c>
      <c r="Z65" s="5">
        <v>1411.28</v>
      </c>
      <c r="AA65" s="6">
        <f>TravelExpenseTable[[#This Row],[Budget_USD]]-TravelExpenseTable[[#This Row],[Total_Actual_USD]]</f>
        <v>-1.7899999999997362</v>
      </c>
      <c r="AB65" s="13">
        <f>TravelExpenseTable[[#This Row],[Budget_Variance_USD]]/TravelExpenseTable[[#This Row],[Budget_USD]]</f>
        <v>-1.2683521342325664E-3</v>
      </c>
      <c r="AC65" s="6" t="str">
        <f t="shared" si="6"/>
        <v>Over Budget</v>
      </c>
      <c r="AD65" s="41" t="s">
        <v>50</v>
      </c>
      <c r="AE65" s="41" t="s">
        <v>51</v>
      </c>
      <c r="AF65" s="41" t="s">
        <v>52</v>
      </c>
      <c r="AG65" s="41" t="s">
        <v>53</v>
      </c>
      <c r="AH65" s="41"/>
    </row>
    <row r="66" spans="1:34">
      <c r="A66" s="55" t="s">
        <v>204</v>
      </c>
      <c r="B66" s="55" t="s">
        <v>132</v>
      </c>
      <c r="C66" s="55" t="s">
        <v>56</v>
      </c>
      <c r="D66" s="55" t="s">
        <v>42</v>
      </c>
      <c r="E66" s="55" t="s">
        <v>43</v>
      </c>
      <c r="F66" s="55" t="s">
        <v>125</v>
      </c>
      <c r="G66" s="55" t="s">
        <v>45</v>
      </c>
      <c r="H66" s="55" t="s">
        <v>69</v>
      </c>
      <c r="I66" s="55" t="s">
        <v>60</v>
      </c>
      <c r="J66" s="56">
        <v>46010</v>
      </c>
      <c r="K66" s="56">
        <v>46046</v>
      </c>
      <c r="L66" s="56">
        <v>46047</v>
      </c>
      <c r="M66" s="57">
        <f t="shared" ref="M66:M129" si="7">DATE(YEAR(K66),MONTH(K66),1)</f>
        <v>46023</v>
      </c>
      <c r="N66" s="57" t="str">
        <f t="shared" ref="N66:N97" si="8">TEXT(K66,"mmm")</f>
        <v>Jan</v>
      </c>
      <c r="O66" s="58">
        <f t="shared" ref="O66:O97" si="9">MONTH(K66)</f>
        <v>1</v>
      </c>
      <c r="P66" s="58">
        <f>TravelExpenseTable[[#This Row],[Departure_Date]]-TravelExpenseTable[[#This Row],[Booking_Date]]</f>
        <v>36</v>
      </c>
      <c r="Q66" s="58">
        <f>TravelExpenseTable[[#This Row],[Return_Date]]-TravelExpenseTable[[#This Row],[Departure_Date]]</f>
        <v>1</v>
      </c>
      <c r="R66" s="55" t="s">
        <v>121</v>
      </c>
      <c r="S66" s="55" t="s">
        <v>71</v>
      </c>
      <c r="T66" s="59">
        <v>630.44000000000005</v>
      </c>
      <c r="U66" s="59">
        <v>267.25</v>
      </c>
      <c r="V66" s="59">
        <v>70.63</v>
      </c>
      <c r="W66" s="59">
        <v>66.84</v>
      </c>
      <c r="X66" s="59">
        <v>108.43</v>
      </c>
      <c r="Y66" s="60">
        <f>SUM(TravelExpenseTable[[#This Row],[Airfare_USD]],,,TravelExpenseTable[[#This Row],[Hotel_USD]],TravelExpenseTable[[#This Row],[Ground_Transport_USD]],TravelExpenseTable[[#This Row],[Meals_USD]],TravelExpenseTable[[#This Row],[Other_Expenses_USD]])</f>
        <v>1143.5900000000001</v>
      </c>
      <c r="Z66" s="59">
        <v>1267.17</v>
      </c>
      <c r="AA66" s="60">
        <f>TravelExpenseTable[[#This Row],[Budget_USD]]-TravelExpenseTable[[#This Row],[Total_Actual_USD]]</f>
        <v>123.57999999999993</v>
      </c>
      <c r="AB66" s="61">
        <f>TravelExpenseTable[[#This Row],[Budget_Variance_USD]]/TravelExpenseTable[[#This Row],[Budget_USD]]</f>
        <v>9.7524404775996845E-2</v>
      </c>
      <c r="AC66" s="60" t="str">
        <f t="shared" ref="AC66:AC97" si="10">IF(AA66&gt;=0,"Within Budget","Over Budget")</f>
        <v>Within Budget</v>
      </c>
      <c r="AD66" s="55" t="s">
        <v>50</v>
      </c>
      <c r="AE66" s="55" t="s">
        <v>50</v>
      </c>
      <c r="AF66" s="55" t="s">
        <v>53</v>
      </c>
      <c r="AG66" s="55" t="s">
        <v>52</v>
      </c>
      <c r="AH66" s="55" t="s">
        <v>63</v>
      </c>
    </row>
    <row r="67" spans="1:34">
      <c r="A67" s="41" t="s">
        <v>205</v>
      </c>
      <c r="B67" s="41" t="s">
        <v>73</v>
      </c>
      <c r="C67" s="41" t="s">
        <v>66</v>
      </c>
      <c r="D67" s="41" t="s">
        <v>67</v>
      </c>
      <c r="E67" s="41" t="s">
        <v>43</v>
      </c>
      <c r="F67" s="41" t="s">
        <v>80</v>
      </c>
      <c r="G67" s="41" t="s">
        <v>59</v>
      </c>
      <c r="H67" s="41" t="s">
        <v>126</v>
      </c>
      <c r="I67" s="41" t="s">
        <v>81</v>
      </c>
      <c r="J67" s="4">
        <v>46148</v>
      </c>
      <c r="K67" s="4">
        <v>46171</v>
      </c>
      <c r="L67" s="4">
        <v>46178</v>
      </c>
      <c r="M67" s="17">
        <f t="shared" si="7"/>
        <v>46143</v>
      </c>
      <c r="N67" s="17" t="str">
        <f t="shared" si="8"/>
        <v>May</v>
      </c>
      <c r="O67" s="10">
        <f t="shared" si="9"/>
        <v>5</v>
      </c>
      <c r="P67" s="10">
        <f>TravelExpenseTable[[#This Row],[Departure_Date]]-TravelExpenseTable[[#This Row],[Booking_Date]]</f>
        <v>23</v>
      </c>
      <c r="Q67" s="10">
        <f>TravelExpenseTable[[#This Row],[Return_Date]]-TravelExpenseTable[[#This Row],[Departure_Date]]</f>
        <v>7</v>
      </c>
      <c r="R67" s="41" t="s">
        <v>70</v>
      </c>
      <c r="S67" s="41" t="s">
        <v>77</v>
      </c>
      <c r="T67" s="5">
        <v>1186.43</v>
      </c>
      <c r="U67" s="5">
        <v>1732.75</v>
      </c>
      <c r="V67" s="5">
        <v>138.66999999999999</v>
      </c>
      <c r="W67" s="5">
        <v>408.59</v>
      </c>
      <c r="X67" s="5">
        <v>91.32</v>
      </c>
      <c r="Y67" s="6">
        <f>SUM(TravelExpenseTable[[#This Row],[Airfare_USD]],,,TravelExpenseTable[[#This Row],[Hotel_USD]],TravelExpenseTable[[#This Row],[Ground_Transport_USD]],TravelExpenseTable[[#This Row],[Meals_USD]],TravelExpenseTable[[#This Row],[Other_Expenses_USD]])</f>
        <v>3557.7600000000007</v>
      </c>
      <c r="Z67" s="5">
        <v>3462.14</v>
      </c>
      <c r="AA67" s="6">
        <f>TravelExpenseTable[[#This Row],[Budget_USD]]-TravelExpenseTable[[#This Row],[Total_Actual_USD]]</f>
        <v>-95.6200000000008</v>
      </c>
      <c r="AB67" s="13">
        <f>TravelExpenseTable[[#This Row],[Budget_Variance_USD]]/TravelExpenseTable[[#This Row],[Budget_USD]]</f>
        <v>-2.7618756029507995E-2</v>
      </c>
      <c r="AC67" s="6" t="str">
        <f t="shared" si="10"/>
        <v>Over Budget</v>
      </c>
      <c r="AD67" s="41" t="s">
        <v>50</v>
      </c>
      <c r="AE67" s="41" t="s">
        <v>92</v>
      </c>
      <c r="AF67" s="41" t="s">
        <v>52</v>
      </c>
      <c r="AG67" s="41" t="s">
        <v>53</v>
      </c>
      <c r="AH67" s="41"/>
    </row>
    <row r="68" spans="1:34">
      <c r="A68" s="41" t="s">
        <v>206</v>
      </c>
      <c r="B68" s="41" t="s">
        <v>174</v>
      </c>
      <c r="C68" s="41" t="s">
        <v>56</v>
      </c>
      <c r="D68" s="41" t="s">
        <v>67</v>
      </c>
      <c r="E68" s="41" t="s">
        <v>43</v>
      </c>
      <c r="F68" s="41" t="s">
        <v>74</v>
      </c>
      <c r="G68" s="41" t="s">
        <v>45</v>
      </c>
      <c r="H68" s="41" t="s">
        <v>97</v>
      </c>
      <c r="I68" s="41" t="s">
        <v>81</v>
      </c>
      <c r="J68" s="4">
        <v>46150</v>
      </c>
      <c r="K68" s="4">
        <v>46192</v>
      </c>
      <c r="L68" s="4">
        <v>46193</v>
      </c>
      <c r="M68" s="17">
        <f t="shared" si="7"/>
        <v>46174</v>
      </c>
      <c r="N68" s="17" t="str">
        <f t="shared" si="8"/>
        <v>Jun</v>
      </c>
      <c r="O68" s="10">
        <f t="shared" si="9"/>
        <v>6</v>
      </c>
      <c r="P68" s="10">
        <f>TravelExpenseTable[[#This Row],[Departure_Date]]-TravelExpenseTable[[#This Row],[Booking_Date]]</f>
        <v>42</v>
      </c>
      <c r="Q68" s="10">
        <f>TravelExpenseTable[[#This Row],[Return_Date]]-TravelExpenseTable[[#This Row],[Departure_Date]]</f>
        <v>1</v>
      </c>
      <c r="R68" s="41" t="s">
        <v>98</v>
      </c>
      <c r="S68" s="41" t="s">
        <v>62</v>
      </c>
      <c r="T68" s="5">
        <v>614.63</v>
      </c>
      <c r="U68" s="5">
        <v>191.44</v>
      </c>
      <c r="V68" s="5">
        <v>128.24</v>
      </c>
      <c r="W68" s="5">
        <v>64.05</v>
      </c>
      <c r="X68" s="5">
        <v>11.14</v>
      </c>
      <c r="Y68" s="6">
        <f>SUM(TravelExpenseTable[[#This Row],[Airfare_USD]],,,TravelExpenseTable[[#This Row],[Hotel_USD]],TravelExpenseTable[[#This Row],[Ground_Transport_USD]],TravelExpenseTable[[#This Row],[Meals_USD]],TravelExpenseTable[[#This Row],[Other_Expenses_USD]])</f>
        <v>1009.4999999999999</v>
      </c>
      <c r="Z68" s="5">
        <v>919.71</v>
      </c>
      <c r="AA68" s="6">
        <f>TravelExpenseTable[[#This Row],[Budget_USD]]-TravelExpenseTable[[#This Row],[Total_Actual_USD]]</f>
        <v>-89.78999999999985</v>
      </c>
      <c r="AB68" s="13">
        <f>TravelExpenseTable[[#This Row],[Budget_Variance_USD]]/TravelExpenseTable[[#This Row],[Budget_USD]]</f>
        <v>-9.7628600319665818E-2</v>
      </c>
      <c r="AC68" s="6" t="str">
        <f t="shared" si="10"/>
        <v>Over Budget</v>
      </c>
      <c r="AD68" s="41" t="s">
        <v>50</v>
      </c>
      <c r="AE68" s="41" t="s">
        <v>51</v>
      </c>
      <c r="AF68" s="41" t="s">
        <v>52</v>
      </c>
      <c r="AG68" s="41" t="s">
        <v>53</v>
      </c>
      <c r="AH68" s="41"/>
    </row>
    <row r="69" spans="1:34">
      <c r="A69" s="41" t="s">
        <v>207</v>
      </c>
      <c r="B69" s="41" t="s">
        <v>208</v>
      </c>
      <c r="C69" s="41" t="s">
        <v>66</v>
      </c>
      <c r="D69" s="41" t="s">
        <v>86</v>
      </c>
      <c r="E69" s="41" t="s">
        <v>43</v>
      </c>
      <c r="F69" s="41" t="s">
        <v>90</v>
      </c>
      <c r="G69" s="41" t="s">
        <v>45</v>
      </c>
      <c r="H69" s="41" t="s">
        <v>75</v>
      </c>
      <c r="I69" s="41" t="s">
        <v>76</v>
      </c>
      <c r="J69" s="4">
        <v>46059</v>
      </c>
      <c r="K69" s="4">
        <v>46090</v>
      </c>
      <c r="L69" s="4">
        <v>46094</v>
      </c>
      <c r="M69" s="17">
        <f t="shared" si="7"/>
        <v>46082</v>
      </c>
      <c r="N69" s="17" t="str">
        <f t="shared" si="8"/>
        <v>Mar</v>
      </c>
      <c r="O69" s="10">
        <f t="shared" si="9"/>
        <v>3</v>
      </c>
      <c r="P69" s="10">
        <f>TravelExpenseTable[[#This Row],[Departure_Date]]-TravelExpenseTable[[#This Row],[Booking_Date]]</f>
        <v>31</v>
      </c>
      <c r="Q69" s="10">
        <f>TravelExpenseTable[[#This Row],[Return_Date]]-TravelExpenseTable[[#This Row],[Departure_Date]]</f>
        <v>4</v>
      </c>
      <c r="R69" s="41" t="s">
        <v>121</v>
      </c>
      <c r="S69" s="41" t="s">
        <v>71</v>
      </c>
      <c r="T69" s="5">
        <v>399.57</v>
      </c>
      <c r="U69" s="5">
        <v>994.49</v>
      </c>
      <c r="V69" s="5">
        <v>54.16</v>
      </c>
      <c r="W69" s="5">
        <v>371.41</v>
      </c>
      <c r="X69" s="5">
        <v>60.24</v>
      </c>
      <c r="Y69" s="6">
        <f>SUM(TravelExpenseTable[[#This Row],[Airfare_USD]],,,TravelExpenseTable[[#This Row],[Hotel_USD]],TravelExpenseTable[[#This Row],[Ground_Transport_USD]],TravelExpenseTable[[#This Row],[Meals_USD]],TravelExpenseTable[[#This Row],[Other_Expenses_USD]])</f>
        <v>1879.8700000000001</v>
      </c>
      <c r="Z69" s="5">
        <v>1840.22</v>
      </c>
      <c r="AA69" s="6">
        <f>TravelExpenseTable[[#This Row],[Budget_USD]]-TravelExpenseTable[[#This Row],[Total_Actual_USD]]</f>
        <v>-39.650000000000091</v>
      </c>
      <c r="AB69" s="13">
        <f>TravelExpenseTable[[#This Row],[Budget_Variance_USD]]/TravelExpenseTable[[#This Row],[Budget_USD]]</f>
        <v>-2.1546336851028729E-2</v>
      </c>
      <c r="AC69" s="6" t="str">
        <f t="shared" si="10"/>
        <v>Over Budget</v>
      </c>
      <c r="AD69" s="41" t="s">
        <v>51</v>
      </c>
      <c r="AE69" s="41" t="s">
        <v>51</v>
      </c>
      <c r="AF69" s="41" t="s">
        <v>52</v>
      </c>
      <c r="AG69" s="41" t="s">
        <v>53</v>
      </c>
      <c r="AH69" s="41"/>
    </row>
    <row r="70" spans="1:34">
      <c r="A70" s="41" t="s">
        <v>209</v>
      </c>
      <c r="B70" s="41" t="s">
        <v>130</v>
      </c>
      <c r="C70" s="41" t="s">
        <v>41</v>
      </c>
      <c r="D70" s="41" t="s">
        <v>57</v>
      </c>
      <c r="E70" s="41" t="s">
        <v>43</v>
      </c>
      <c r="F70" s="41" t="s">
        <v>44</v>
      </c>
      <c r="G70" s="41" t="s">
        <v>45</v>
      </c>
      <c r="H70" s="41" t="s">
        <v>75</v>
      </c>
      <c r="I70" s="41" t="s">
        <v>76</v>
      </c>
      <c r="J70" s="4">
        <v>46072</v>
      </c>
      <c r="K70" s="4">
        <v>46112</v>
      </c>
      <c r="L70" s="4">
        <v>46113</v>
      </c>
      <c r="M70" s="17">
        <f t="shared" si="7"/>
        <v>46082</v>
      </c>
      <c r="N70" s="17" t="str">
        <f t="shared" si="8"/>
        <v>Mar</v>
      </c>
      <c r="O70" s="10">
        <f t="shared" si="9"/>
        <v>3</v>
      </c>
      <c r="P70" s="10">
        <f>TravelExpenseTable[[#This Row],[Departure_Date]]-TravelExpenseTable[[#This Row],[Booking_Date]]</f>
        <v>40</v>
      </c>
      <c r="Q70" s="10">
        <f>TravelExpenseTable[[#This Row],[Return_Date]]-TravelExpenseTable[[#This Row],[Departure_Date]]</f>
        <v>1</v>
      </c>
      <c r="R70" s="41" t="s">
        <v>121</v>
      </c>
      <c r="S70" s="41" t="s">
        <v>113</v>
      </c>
      <c r="T70" s="5">
        <v>708.58</v>
      </c>
      <c r="U70" s="5">
        <v>407.6</v>
      </c>
      <c r="V70" s="5">
        <v>99.18</v>
      </c>
      <c r="W70" s="5">
        <v>77.599999999999994</v>
      </c>
      <c r="X70" s="5">
        <v>142.5</v>
      </c>
      <c r="Y70" s="6">
        <f>SUM(TravelExpenseTable[[#This Row],[Airfare_USD]],,,TravelExpenseTable[[#This Row],[Hotel_USD]],TravelExpenseTable[[#This Row],[Ground_Transport_USD]],TravelExpenseTable[[#This Row],[Meals_USD]],TravelExpenseTable[[#This Row],[Other_Expenses_USD]])</f>
        <v>1435.46</v>
      </c>
      <c r="Z70" s="5">
        <v>1613.39</v>
      </c>
      <c r="AA70" s="6">
        <f>TravelExpenseTable[[#This Row],[Budget_USD]]-TravelExpenseTable[[#This Row],[Total_Actual_USD]]</f>
        <v>177.93000000000006</v>
      </c>
      <c r="AB70" s="13">
        <f>TravelExpenseTable[[#This Row],[Budget_Variance_USD]]/TravelExpenseTable[[#This Row],[Budget_USD]]</f>
        <v>0.11028331649508182</v>
      </c>
      <c r="AC70" s="6" t="str">
        <f t="shared" si="10"/>
        <v>Within Budget</v>
      </c>
      <c r="AD70" s="41" t="s">
        <v>51</v>
      </c>
      <c r="AE70" s="41" t="s">
        <v>92</v>
      </c>
      <c r="AF70" s="41" t="s">
        <v>52</v>
      </c>
      <c r="AG70" s="41" t="s">
        <v>53</v>
      </c>
      <c r="AH70" s="41"/>
    </row>
    <row r="71" spans="1:34">
      <c r="A71" s="41" t="s">
        <v>210</v>
      </c>
      <c r="B71" s="41" t="s">
        <v>179</v>
      </c>
      <c r="C71" s="41" t="s">
        <v>95</v>
      </c>
      <c r="D71" s="41" t="s">
        <v>86</v>
      </c>
      <c r="E71" s="41" t="s">
        <v>43</v>
      </c>
      <c r="F71" s="41" t="s">
        <v>159</v>
      </c>
      <c r="G71" s="41" t="s">
        <v>59</v>
      </c>
      <c r="H71" s="41" t="s">
        <v>46</v>
      </c>
      <c r="I71" s="41" t="s">
        <v>81</v>
      </c>
      <c r="J71" s="4">
        <v>46093</v>
      </c>
      <c r="K71" s="4">
        <v>46119</v>
      </c>
      <c r="L71" s="4">
        <v>46122</v>
      </c>
      <c r="M71" s="17">
        <f t="shared" si="7"/>
        <v>46113</v>
      </c>
      <c r="N71" s="17" t="str">
        <f t="shared" si="8"/>
        <v>Apr</v>
      </c>
      <c r="O71" s="10">
        <f t="shared" si="9"/>
        <v>4</v>
      </c>
      <c r="P71" s="10">
        <f>TravelExpenseTable[[#This Row],[Departure_Date]]-TravelExpenseTable[[#This Row],[Booking_Date]]</f>
        <v>26</v>
      </c>
      <c r="Q71" s="10">
        <f>TravelExpenseTable[[#This Row],[Return_Date]]-TravelExpenseTable[[#This Row],[Departure_Date]]</f>
        <v>3</v>
      </c>
      <c r="R71" s="41" t="s">
        <v>70</v>
      </c>
      <c r="S71" s="41" t="s">
        <v>91</v>
      </c>
      <c r="T71" s="5">
        <v>1542.77</v>
      </c>
      <c r="U71" s="5">
        <v>679.44</v>
      </c>
      <c r="V71" s="5">
        <v>319.99</v>
      </c>
      <c r="W71" s="5">
        <v>192.89</v>
      </c>
      <c r="X71" s="5">
        <v>53.24</v>
      </c>
      <c r="Y71" s="6">
        <f>SUM(TravelExpenseTable[[#This Row],[Airfare_USD]],,,TravelExpenseTable[[#This Row],[Hotel_USD]],TravelExpenseTable[[#This Row],[Ground_Transport_USD]],TravelExpenseTable[[#This Row],[Meals_USD]],TravelExpenseTable[[#This Row],[Other_Expenses_USD]])</f>
        <v>2788.3299999999995</v>
      </c>
      <c r="Z71" s="5">
        <v>3112.99</v>
      </c>
      <c r="AA71" s="6">
        <f>TravelExpenseTable[[#This Row],[Budget_USD]]-TravelExpenseTable[[#This Row],[Total_Actual_USD]]</f>
        <v>324.66000000000031</v>
      </c>
      <c r="AB71" s="13">
        <f>TravelExpenseTable[[#This Row],[Budget_Variance_USD]]/TravelExpenseTable[[#This Row],[Budget_USD]]</f>
        <v>0.10429201507232606</v>
      </c>
      <c r="AC71" s="6" t="str">
        <f t="shared" si="10"/>
        <v>Within Budget</v>
      </c>
      <c r="AD71" s="41" t="s">
        <v>51</v>
      </c>
      <c r="AE71" s="41" t="s">
        <v>50</v>
      </c>
      <c r="AF71" s="41" t="s">
        <v>53</v>
      </c>
      <c r="AG71" s="41" t="s">
        <v>53</v>
      </c>
      <c r="AH71" s="41"/>
    </row>
    <row r="72" spans="1:34">
      <c r="A72" s="41" t="s">
        <v>211</v>
      </c>
      <c r="B72" s="41" t="s">
        <v>212</v>
      </c>
      <c r="C72" s="41" t="s">
        <v>41</v>
      </c>
      <c r="D72" s="41" t="s">
        <v>124</v>
      </c>
      <c r="E72" s="41" t="s">
        <v>43</v>
      </c>
      <c r="F72" s="41" t="s">
        <v>133</v>
      </c>
      <c r="G72" s="41" t="s">
        <v>45</v>
      </c>
      <c r="H72" s="41" t="s">
        <v>97</v>
      </c>
      <c r="I72" s="41" t="s">
        <v>81</v>
      </c>
      <c r="J72" s="4">
        <v>46144</v>
      </c>
      <c r="K72" s="4">
        <v>46185</v>
      </c>
      <c r="L72" s="4">
        <v>46187</v>
      </c>
      <c r="M72" s="17">
        <f t="shared" si="7"/>
        <v>46174</v>
      </c>
      <c r="N72" s="17" t="str">
        <f t="shared" si="8"/>
        <v>Jun</v>
      </c>
      <c r="O72" s="10">
        <f t="shared" si="9"/>
        <v>6</v>
      </c>
      <c r="P72" s="10">
        <f>TravelExpenseTable[[#This Row],[Departure_Date]]-TravelExpenseTable[[#This Row],[Booking_Date]]</f>
        <v>41</v>
      </c>
      <c r="Q72" s="10">
        <f>TravelExpenseTable[[#This Row],[Return_Date]]-TravelExpenseTable[[#This Row],[Departure_Date]]</f>
        <v>2</v>
      </c>
      <c r="R72" s="41" t="s">
        <v>70</v>
      </c>
      <c r="S72" s="41" t="s">
        <v>138</v>
      </c>
      <c r="T72" s="5">
        <v>551.98</v>
      </c>
      <c r="U72" s="5">
        <v>568.85</v>
      </c>
      <c r="V72" s="5">
        <v>171.21</v>
      </c>
      <c r="W72" s="5">
        <v>115.24</v>
      </c>
      <c r="X72" s="5">
        <v>65.569999999999993</v>
      </c>
      <c r="Y72" s="6">
        <f>SUM(TravelExpenseTable[[#This Row],[Airfare_USD]],,,TravelExpenseTable[[#This Row],[Hotel_USD]],TravelExpenseTable[[#This Row],[Ground_Transport_USD]],TravelExpenseTable[[#This Row],[Meals_USD]],TravelExpenseTable[[#This Row],[Other_Expenses_USD]])</f>
        <v>1472.85</v>
      </c>
      <c r="Z72" s="5">
        <v>1614.06</v>
      </c>
      <c r="AA72" s="6">
        <f>TravelExpenseTable[[#This Row],[Budget_USD]]-TravelExpenseTable[[#This Row],[Total_Actual_USD]]</f>
        <v>141.21000000000004</v>
      </c>
      <c r="AB72" s="13">
        <f>TravelExpenseTable[[#This Row],[Budget_Variance_USD]]/TravelExpenseTable[[#This Row],[Budget_USD]]</f>
        <v>8.7487453997992667E-2</v>
      </c>
      <c r="AC72" s="6" t="str">
        <f t="shared" si="10"/>
        <v>Within Budget</v>
      </c>
      <c r="AD72" s="41" t="s">
        <v>50</v>
      </c>
      <c r="AE72" s="41" t="s">
        <v>50</v>
      </c>
      <c r="AF72" s="41" t="s">
        <v>52</v>
      </c>
      <c r="AG72" s="41" t="s">
        <v>53</v>
      </c>
      <c r="AH72" s="41"/>
    </row>
    <row r="73" spans="1:34">
      <c r="A73" s="41" t="s">
        <v>213</v>
      </c>
      <c r="B73" s="41" t="s">
        <v>167</v>
      </c>
      <c r="C73" s="41" t="s">
        <v>41</v>
      </c>
      <c r="D73" s="41" t="s">
        <v>107</v>
      </c>
      <c r="E73" s="41" t="s">
        <v>43</v>
      </c>
      <c r="F73" s="41" t="s">
        <v>104</v>
      </c>
      <c r="G73" s="41" t="s">
        <v>45</v>
      </c>
      <c r="H73" s="41" t="s">
        <v>108</v>
      </c>
      <c r="I73" s="41" t="s">
        <v>60</v>
      </c>
      <c r="J73" s="4">
        <v>46141</v>
      </c>
      <c r="K73" s="4">
        <v>46163</v>
      </c>
      <c r="L73" s="4">
        <v>46165</v>
      </c>
      <c r="M73" s="17">
        <f t="shared" si="7"/>
        <v>46143</v>
      </c>
      <c r="N73" s="17" t="str">
        <f t="shared" si="8"/>
        <v>May</v>
      </c>
      <c r="O73" s="10">
        <f t="shared" si="9"/>
        <v>5</v>
      </c>
      <c r="P73" s="10">
        <f>TravelExpenseTable[[#This Row],[Departure_Date]]-TravelExpenseTable[[#This Row],[Booking_Date]]</f>
        <v>22</v>
      </c>
      <c r="Q73" s="10">
        <f>TravelExpenseTable[[#This Row],[Return_Date]]-TravelExpenseTable[[#This Row],[Departure_Date]]</f>
        <v>2</v>
      </c>
      <c r="R73" s="41" t="s">
        <v>70</v>
      </c>
      <c r="S73" s="41" t="s">
        <v>71</v>
      </c>
      <c r="T73" s="5">
        <v>535.14</v>
      </c>
      <c r="U73" s="5">
        <v>616.24</v>
      </c>
      <c r="V73" s="5">
        <v>179.65</v>
      </c>
      <c r="W73" s="5">
        <v>203.37</v>
      </c>
      <c r="X73" s="5">
        <v>90.52</v>
      </c>
      <c r="Y73" s="6">
        <f>SUM(TravelExpenseTable[[#This Row],[Airfare_USD]],,,TravelExpenseTable[[#This Row],[Hotel_USD]],TravelExpenseTable[[#This Row],[Ground_Transport_USD]],TravelExpenseTable[[#This Row],[Meals_USD]],TravelExpenseTable[[#This Row],[Other_Expenses_USD]])</f>
        <v>1624.92</v>
      </c>
      <c r="Z73" s="5">
        <v>1634.02</v>
      </c>
      <c r="AA73" s="6">
        <f>TravelExpenseTable[[#This Row],[Budget_USD]]-TravelExpenseTable[[#This Row],[Total_Actual_USD]]</f>
        <v>9.0999999999999091</v>
      </c>
      <c r="AB73" s="13">
        <f>TravelExpenseTable[[#This Row],[Budget_Variance_USD]]/TravelExpenseTable[[#This Row],[Budget_USD]]</f>
        <v>5.5690872816733629E-3</v>
      </c>
      <c r="AC73" s="6" t="str">
        <f t="shared" si="10"/>
        <v>Within Budget</v>
      </c>
      <c r="AD73" s="41" t="s">
        <v>50</v>
      </c>
      <c r="AE73" s="41" t="s">
        <v>50</v>
      </c>
      <c r="AF73" s="41" t="s">
        <v>52</v>
      </c>
      <c r="AG73" s="41" t="s">
        <v>53</v>
      </c>
      <c r="AH73" s="41"/>
    </row>
    <row r="74" spans="1:34">
      <c r="A74" s="41" t="s">
        <v>214</v>
      </c>
      <c r="B74" s="41" t="s">
        <v>215</v>
      </c>
      <c r="C74" s="41" t="s">
        <v>41</v>
      </c>
      <c r="D74" s="41" t="s">
        <v>107</v>
      </c>
      <c r="E74" s="41" t="s">
        <v>43</v>
      </c>
      <c r="F74" s="41" t="s">
        <v>87</v>
      </c>
      <c r="G74" s="41" t="s">
        <v>45</v>
      </c>
      <c r="H74" s="41" t="s">
        <v>112</v>
      </c>
      <c r="I74" s="41" t="s">
        <v>81</v>
      </c>
      <c r="J74" s="4">
        <v>46014</v>
      </c>
      <c r="K74" s="4">
        <v>46040</v>
      </c>
      <c r="L74" s="4">
        <v>46044</v>
      </c>
      <c r="M74" s="17">
        <f t="shared" si="7"/>
        <v>46023</v>
      </c>
      <c r="N74" s="17" t="str">
        <f t="shared" si="8"/>
        <v>Jan</v>
      </c>
      <c r="O74" s="10">
        <f t="shared" si="9"/>
        <v>1</v>
      </c>
      <c r="P74" s="10">
        <f>TravelExpenseTable[[#This Row],[Departure_Date]]-TravelExpenseTable[[#This Row],[Booking_Date]]</f>
        <v>26</v>
      </c>
      <c r="Q74" s="10">
        <f>TravelExpenseTable[[#This Row],[Return_Date]]-TravelExpenseTable[[#This Row],[Departure_Date]]</f>
        <v>4</v>
      </c>
      <c r="R74" s="41" t="s">
        <v>48</v>
      </c>
      <c r="S74" s="41" t="s">
        <v>82</v>
      </c>
      <c r="T74" s="5">
        <v>644.98</v>
      </c>
      <c r="U74" s="5">
        <v>734.59</v>
      </c>
      <c r="V74" s="5">
        <v>203.43</v>
      </c>
      <c r="W74" s="5">
        <v>255.36</v>
      </c>
      <c r="X74" s="5">
        <v>78.75</v>
      </c>
      <c r="Y74" s="6">
        <f>SUM(TravelExpenseTable[[#This Row],[Airfare_USD]],,,TravelExpenseTable[[#This Row],[Hotel_USD]],TravelExpenseTable[[#This Row],[Ground_Transport_USD]],TravelExpenseTable[[#This Row],[Meals_USD]],TravelExpenseTable[[#This Row],[Other_Expenses_USD]])</f>
        <v>1917.1100000000001</v>
      </c>
      <c r="Z74" s="5">
        <v>2231.37</v>
      </c>
      <c r="AA74" s="6">
        <f>TravelExpenseTable[[#This Row],[Budget_USD]]-TravelExpenseTable[[#This Row],[Total_Actual_USD]]</f>
        <v>314.25999999999976</v>
      </c>
      <c r="AB74" s="13">
        <f>TravelExpenseTable[[#This Row],[Budget_Variance_USD]]/TravelExpenseTable[[#This Row],[Budget_USD]]</f>
        <v>0.1408372434871849</v>
      </c>
      <c r="AC74" s="6" t="str">
        <f t="shared" si="10"/>
        <v>Within Budget</v>
      </c>
      <c r="AD74" s="41" t="s">
        <v>50</v>
      </c>
      <c r="AE74" s="41" t="s">
        <v>83</v>
      </c>
      <c r="AF74" s="41" t="s">
        <v>53</v>
      </c>
      <c r="AG74" s="41" t="s">
        <v>53</v>
      </c>
      <c r="AH74" s="41"/>
    </row>
    <row r="75" spans="1:34">
      <c r="A75" s="55" t="s">
        <v>216</v>
      </c>
      <c r="B75" s="55" t="s">
        <v>149</v>
      </c>
      <c r="C75" s="55" t="s">
        <v>95</v>
      </c>
      <c r="D75" s="55" t="s">
        <v>86</v>
      </c>
      <c r="E75" s="55" t="s">
        <v>43</v>
      </c>
      <c r="F75" s="55" t="s">
        <v>90</v>
      </c>
      <c r="G75" s="55" t="s">
        <v>45</v>
      </c>
      <c r="H75" s="55" t="s">
        <v>97</v>
      </c>
      <c r="I75" s="55" t="s">
        <v>81</v>
      </c>
      <c r="J75" s="56">
        <v>46110</v>
      </c>
      <c r="K75" s="56">
        <v>46128</v>
      </c>
      <c r="L75" s="56">
        <v>46131</v>
      </c>
      <c r="M75" s="57">
        <f t="shared" si="7"/>
        <v>46113</v>
      </c>
      <c r="N75" s="57" t="str">
        <f t="shared" si="8"/>
        <v>Apr</v>
      </c>
      <c r="O75" s="58">
        <f t="shared" si="9"/>
        <v>4</v>
      </c>
      <c r="P75" s="58">
        <f>TravelExpenseTable[[#This Row],[Departure_Date]]-TravelExpenseTable[[#This Row],[Booking_Date]]</f>
        <v>18</v>
      </c>
      <c r="Q75" s="58">
        <f>TravelExpenseTable[[#This Row],[Return_Date]]-TravelExpenseTable[[#This Row],[Departure_Date]]</f>
        <v>3</v>
      </c>
      <c r="R75" s="55" t="s">
        <v>102</v>
      </c>
      <c r="S75" s="55" t="s">
        <v>71</v>
      </c>
      <c r="T75" s="59">
        <v>391.65</v>
      </c>
      <c r="U75" s="59">
        <v>467.56</v>
      </c>
      <c r="V75" s="59">
        <v>170.07</v>
      </c>
      <c r="W75" s="59">
        <v>225.35</v>
      </c>
      <c r="X75" s="59">
        <v>26.29</v>
      </c>
      <c r="Y75" s="60">
        <f>SUM(TravelExpenseTable[[#This Row],[Airfare_USD]],,,TravelExpenseTable[[#This Row],[Hotel_USD]],TravelExpenseTable[[#This Row],[Ground_Transport_USD]],TravelExpenseTable[[#This Row],[Meals_USD]],TravelExpenseTable[[#This Row],[Other_Expenses_USD]])</f>
        <v>1280.9199999999998</v>
      </c>
      <c r="Z75" s="59">
        <v>1141.93</v>
      </c>
      <c r="AA75" s="60">
        <f>TravelExpenseTable[[#This Row],[Budget_USD]]-TravelExpenseTable[[#This Row],[Total_Actual_USD]]</f>
        <v>-138.98999999999978</v>
      </c>
      <c r="AB75" s="61">
        <f>TravelExpenseTable[[#This Row],[Budget_Variance_USD]]/TravelExpenseTable[[#This Row],[Budget_USD]]</f>
        <v>-0.12171499128668112</v>
      </c>
      <c r="AC75" s="60" t="str">
        <f t="shared" si="10"/>
        <v>Over Budget</v>
      </c>
      <c r="AD75" s="55" t="s">
        <v>50</v>
      </c>
      <c r="AE75" s="55" t="s">
        <v>51</v>
      </c>
      <c r="AF75" s="55" t="s">
        <v>53</v>
      </c>
      <c r="AG75" s="55" t="s">
        <v>52</v>
      </c>
      <c r="AH75" s="55" t="s">
        <v>117</v>
      </c>
    </row>
    <row r="76" spans="1:34">
      <c r="A76" s="41" t="s">
        <v>217</v>
      </c>
      <c r="B76" s="41" t="s">
        <v>167</v>
      </c>
      <c r="C76" s="41" t="s">
        <v>41</v>
      </c>
      <c r="D76" s="41" t="s">
        <v>107</v>
      </c>
      <c r="E76" s="41" t="s">
        <v>43</v>
      </c>
      <c r="F76" s="41" t="s">
        <v>96</v>
      </c>
      <c r="G76" s="41" t="s">
        <v>45</v>
      </c>
      <c r="H76" s="41" t="s">
        <v>69</v>
      </c>
      <c r="I76" s="41" t="s">
        <v>81</v>
      </c>
      <c r="J76" s="4">
        <v>46028</v>
      </c>
      <c r="K76" s="4">
        <v>46047</v>
      </c>
      <c r="L76" s="4">
        <v>46048</v>
      </c>
      <c r="M76" s="17">
        <f t="shared" si="7"/>
        <v>46023</v>
      </c>
      <c r="N76" s="17" t="str">
        <f t="shared" si="8"/>
        <v>Jan</v>
      </c>
      <c r="O76" s="10">
        <f t="shared" si="9"/>
        <v>1</v>
      </c>
      <c r="P76" s="10">
        <f>TravelExpenseTable[[#This Row],[Departure_Date]]-TravelExpenseTable[[#This Row],[Booking_Date]]</f>
        <v>19</v>
      </c>
      <c r="Q76" s="10">
        <f>TravelExpenseTable[[#This Row],[Return_Date]]-TravelExpenseTable[[#This Row],[Departure_Date]]</f>
        <v>1</v>
      </c>
      <c r="R76" s="41" t="s">
        <v>70</v>
      </c>
      <c r="S76" s="41" t="s">
        <v>49</v>
      </c>
      <c r="T76" s="5">
        <v>374.22</v>
      </c>
      <c r="U76" s="5">
        <v>280.23</v>
      </c>
      <c r="V76" s="5">
        <v>53.36</v>
      </c>
      <c r="W76" s="5">
        <v>80.19</v>
      </c>
      <c r="X76" s="5">
        <v>142.9</v>
      </c>
      <c r="Y76" s="6">
        <f>SUM(TravelExpenseTable[[#This Row],[Airfare_USD]],,,TravelExpenseTable[[#This Row],[Hotel_USD]],TravelExpenseTable[[#This Row],[Ground_Transport_USD]],TravelExpenseTable[[#This Row],[Meals_USD]],TravelExpenseTable[[#This Row],[Other_Expenses_USD]])</f>
        <v>930.9</v>
      </c>
      <c r="Z76" s="5">
        <v>946.85</v>
      </c>
      <c r="AA76" s="6">
        <f>TravelExpenseTable[[#This Row],[Budget_USD]]-TravelExpenseTable[[#This Row],[Total_Actual_USD]]</f>
        <v>15.950000000000045</v>
      </c>
      <c r="AB76" s="13">
        <f>TravelExpenseTable[[#This Row],[Budget_Variance_USD]]/TravelExpenseTable[[#This Row],[Budget_USD]]</f>
        <v>1.6845329249617198E-2</v>
      </c>
      <c r="AC76" s="6" t="str">
        <f t="shared" si="10"/>
        <v>Within Budget</v>
      </c>
      <c r="AD76" s="41" t="s">
        <v>50</v>
      </c>
      <c r="AE76" s="41" t="s">
        <v>83</v>
      </c>
      <c r="AF76" s="41" t="s">
        <v>52</v>
      </c>
      <c r="AG76" s="41" t="s">
        <v>53</v>
      </c>
      <c r="AH76" s="41"/>
    </row>
    <row r="77" spans="1:34">
      <c r="A77" s="41" t="s">
        <v>218</v>
      </c>
      <c r="B77" s="41" t="s">
        <v>219</v>
      </c>
      <c r="C77" s="41" t="s">
        <v>95</v>
      </c>
      <c r="D77" s="41" t="s">
        <v>107</v>
      </c>
      <c r="E77" s="41" t="s">
        <v>43</v>
      </c>
      <c r="F77" s="41" t="s">
        <v>159</v>
      </c>
      <c r="G77" s="41" t="s">
        <v>59</v>
      </c>
      <c r="H77" s="41" t="s">
        <v>46</v>
      </c>
      <c r="I77" s="41" t="s">
        <v>60</v>
      </c>
      <c r="J77" s="4">
        <v>46162</v>
      </c>
      <c r="K77" s="4">
        <v>46174</v>
      </c>
      <c r="L77" s="4">
        <v>46178</v>
      </c>
      <c r="M77" s="17">
        <f t="shared" si="7"/>
        <v>46174</v>
      </c>
      <c r="N77" s="17" t="str">
        <f t="shared" si="8"/>
        <v>Jun</v>
      </c>
      <c r="O77" s="10">
        <f t="shared" si="9"/>
        <v>6</v>
      </c>
      <c r="P77" s="10">
        <f>TravelExpenseTable[[#This Row],[Departure_Date]]-TravelExpenseTable[[#This Row],[Booking_Date]]</f>
        <v>12</v>
      </c>
      <c r="Q77" s="10">
        <f>TravelExpenseTable[[#This Row],[Return_Date]]-TravelExpenseTable[[#This Row],[Departure_Date]]</f>
        <v>4</v>
      </c>
      <c r="R77" s="41" t="s">
        <v>144</v>
      </c>
      <c r="S77" s="41" t="s">
        <v>62</v>
      </c>
      <c r="T77" s="5">
        <v>964.62</v>
      </c>
      <c r="U77" s="5">
        <v>1076.5899999999999</v>
      </c>
      <c r="V77" s="5">
        <v>236.09</v>
      </c>
      <c r="W77" s="5">
        <v>240.55</v>
      </c>
      <c r="X77" s="5">
        <v>175.44</v>
      </c>
      <c r="Y77" s="6">
        <f>SUM(TravelExpenseTable[[#This Row],[Airfare_USD]],,,TravelExpenseTable[[#This Row],[Hotel_USD]],TravelExpenseTable[[#This Row],[Ground_Transport_USD]],TravelExpenseTable[[#This Row],[Meals_USD]],TravelExpenseTable[[#This Row],[Other_Expenses_USD]])</f>
        <v>2693.2900000000004</v>
      </c>
      <c r="Z77" s="5">
        <v>2424.7800000000002</v>
      </c>
      <c r="AA77" s="6">
        <f>TravelExpenseTable[[#This Row],[Budget_USD]]-TravelExpenseTable[[#This Row],[Total_Actual_USD]]</f>
        <v>-268.51000000000022</v>
      </c>
      <c r="AB77" s="13">
        <f>TravelExpenseTable[[#This Row],[Budget_Variance_USD]]/TravelExpenseTable[[#This Row],[Budget_USD]]</f>
        <v>-0.1107358193320632</v>
      </c>
      <c r="AC77" s="6" t="str">
        <f t="shared" si="10"/>
        <v>Over Budget</v>
      </c>
      <c r="AD77" s="41" t="s">
        <v>51</v>
      </c>
      <c r="AE77" s="41" t="s">
        <v>50</v>
      </c>
      <c r="AF77" s="41" t="s">
        <v>52</v>
      </c>
      <c r="AG77" s="41" t="s">
        <v>53</v>
      </c>
      <c r="AH77" s="41"/>
    </row>
    <row r="78" spans="1:34">
      <c r="A78" s="55" t="s">
        <v>220</v>
      </c>
      <c r="B78" s="55" t="s">
        <v>100</v>
      </c>
      <c r="C78" s="55" t="s">
        <v>41</v>
      </c>
      <c r="D78" s="55" t="s">
        <v>57</v>
      </c>
      <c r="E78" s="55" t="s">
        <v>43</v>
      </c>
      <c r="F78" s="55" t="s">
        <v>96</v>
      </c>
      <c r="G78" s="55" t="s">
        <v>45</v>
      </c>
      <c r="H78" s="55" t="s">
        <v>97</v>
      </c>
      <c r="I78" s="55" t="s">
        <v>60</v>
      </c>
      <c r="J78" s="56">
        <v>46121</v>
      </c>
      <c r="K78" s="56">
        <v>46126</v>
      </c>
      <c r="L78" s="56">
        <v>46130</v>
      </c>
      <c r="M78" s="57">
        <f t="shared" si="7"/>
        <v>46113</v>
      </c>
      <c r="N78" s="57" t="str">
        <f t="shared" si="8"/>
        <v>Apr</v>
      </c>
      <c r="O78" s="58">
        <f t="shared" si="9"/>
        <v>4</v>
      </c>
      <c r="P78" s="58">
        <f>TravelExpenseTable[[#This Row],[Departure_Date]]-TravelExpenseTable[[#This Row],[Booking_Date]]</f>
        <v>5</v>
      </c>
      <c r="Q78" s="58">
        <f>TravelExpenseTable[[#This Row],[Return_Date]]-TravelExpenseTable[[#This Row],[Departure_Date]]</f>
        <v>4</v>
      </c>
      <c r="R78" s="55" t="s">
        <v>121</v>
      </c>
      <c r="S78" s="55" t="s">
        <v>113</v>
      </c>
      <c r="T78" s="59">
        <v>503.24</v>
      </c>
      <c r="U78" s="59">
        <v>1072.9000000000001</v>
      </c>
      <c r="V78" s="59">
        <v>159.99</v>
      </c>
      <c r="W78" s="59">
        <v>244.88</v>
      </c>
      <c r="X78" s="59">
        <v>104.74</v>
      </c>
      <c r="Y78" s="60">
        <f>SUM(TravelExpenseTable[[#This Row],[Airfare_USD]],,,TravelExpenseTable[[#This Row],[Hotel_USD]],TravelExpenseTable[[#This Row],[Ground_Transport_USD]],TravelExpenseTable[[#This Row],[Meals_USD]],TravelExpenseTable[[#This Row],[Other_Expenses_USD]])</f>
        <v>2085.75</v>
      </c>
      <c r="Z78" s="59">
        <v>2308.9299999999998</v>
      </c>
      <c r="AA78" s="60">
        <f>TravelExpenseTable[[#This Row],[Budget_USD]]-TravelExpenseTable[[#This Row],[Total_Actual_USD]]</f>
        <v>223.17999999999984</v>
      </c>
      <c r="AB78" s="61">
        <f>TravelExpenseTable[[#This Row],[Budget_Variance_USD]]/TravelExpenseTable[[#This Row],[Budget_USD]]</f>
        <v>9.665949162599119E-2</v>
      </c>
      <c r="AC78" s="60" t="str">
        <f t="shared" si="10"/>
        <v>Within Budget</v>
      </c>
      <c r="AD78" s="55" t="s">
        <v>50</v>
      </c>
      <c r="AE78" s="55" t="s">
        <v>92</v>
      </c>
      <c r="AF78" s="55" t="s">
        <v>52</v>
      </c>
      <c r="AG78" s="55" t="s">
        <v>52</v>
      </c>
      <c r="AH78" s="55" t="s">
        <v>150</v>
      </c>
    </row>
    <row r="79" spans="1:34">
      <c r="A79" s="41" t="s">
        <v>221</v>
      </c>
      <c r="B79" s="41" t="s">
        <v>40</v>
      </c>
      <c r="C79" s="41" t="s">
        <v>41</v>
      </c>
      <c r="D79" s="41" t="s">
        <v>42</v>
      </c>
      <c r="E79" s="41" t="s">
        <v>43</v>
      </c>
      <c r="F79" s="41" t="s">
        <v>101</v>
      </c>
      <c r="G79" s="41" t="s">
        <v>59</v>
      </c>
      <c r="H79" s="41" t="s">
        <v>112</v>
      </c>
      <c r="I79" s="41" t="s">
        <v>81</v>
      </c>
      <c r="J79" s="4">
        <v>46177</v>
      </c>
      <c r="K79" s="4">
        <v>46188</v>
      </c>
      <c r="L79" s="4">
        <v>46192</v>
      </c>
      <c r="M79" s="17">
        <f t="shared" si="7"/>
        <v>46174</v>
      </c>
      <c r="N79" s="17" t="str">
        <f t="shared" si="8"/>
        <v>Jun</v>
      </c>
      <c r="O79" s="10">
        <f t="shared" si="9"/>
        <v>6</v>
      </c>
      <c r="P79" s="10">
        <f>TravelExpenseTable[[#This Row],[Departure_Date]]-TravelExpenseTable[[#This Row],[Booking_Date]]</f>
        <v>11</v>
      </c>
      <c r="Q79" s="10">
        <f>TravelExpenseTable[[#This Row],[Return_Date]]-TravelExpenseTable[[#This Row],[Departure_Date]]</f>
        <v>4</v>
      </c>
      <c r="R79" s="41" t="s">
        <v>188</v>
      </c>
      <c r="S79" s="41" t="s">
        <v>77</v>
      </c>
      <c r="T79" s="5">
        <v>921.75</v>
      </c>
      <c r="U79" s="5">
        <v>1361.24</v>
      </c>
      <c r="V79" s="5">
        <v>291.45</v>
      </c>
      <c r="W79" s="5">
        <v>295.74</v>
      </c>
      <c r="X79" s="5">
        <v>55.81</v>
      </c>
      <c r="Y79" s="6">
        <f>SUM(TravelExpenseTable[[#This Row],[Airfare_USD]],,,TravelExpenseTable[[#This Row],[Hotel_USD]],TravelExpenseTable[[#This Row],[Ground_Transport_USD]],TravelExpenseTable[[#This Row],[Meals_USD]],TravelExpenseTable[[#This Row],[Other_Expenses_USD]])</f>
        <v>2925.9899999999993</v>
      </c>
      <c r="Z79" s="5">
        <v>2924.43</v>
      </c>
      <c r="AA79" s="6">
        <f>TravelExpenseTable[[#This Row],[Budget_USD]]-TravelExpenseTable[[#This Row],[Total_Actual_USD]]</f>
        <v>-1.5599999999994907</v>
      </c>
      <c r="AB79" s="13">
        <f>TravelExpenseTable[[#This Row],[Budget_Variance_USD]]/TravelExpenseTable[[#This Row],[Budget_USD]]</f>
        <v>-5.3343728521438054E-4</v>
      </c>
      <c r="AC79" s="6" t="str">
        <f t="shared" si="10"/>
        <v>Over Budget</v>
      </c>
      <c r="AD79" s="41" t="s">
        <v>51</v>
      </c>
      <c r="AE79" s="41" t="s">
        <v>83</v>
      </c>
      <c r="AF79" s="41" t="s">
        <v>52</v>
      </c>
      <c r="AG79" s="41" t="s">
        <v>53</v>
      </c>
      <c r="AH79" s="41"/>
    </row>
    <row r="80" spans="1:34">
      <c r="A80" s="41" t="s">
        <v>222</v>
      </c>
      <c r="B80" s="41" t="s">
        <v>223</v>
      </c>
      <c r="C80" s="41" t="s">
        <v>41</v>
      </c>
      <c r="D80" s="41" t="s">
        <v>111</v>
      </c>
      <c r="E80" s="41" t="s">
        <v>43</v>
      </c>
      <c r="F80" s="41" t="s">
        <v>157</v>
      </c>
      <c r="G80" s="41" t="s">
        <v>45</v>
      </c>
      <c r="H80" s="41" t="s">
        <v>126</v>
      </c>
      <c r="I80" s="41" t="s">
        <v>47</v>
      </c>
      <c r="J80" s="4">
        <v>46074</v>
      </c>
      <c r="K80" s="4">
        <v>46118</v>
      </c>
      <c r="L80" s="4">
        <v>46119</v>
      </c>
      <c r="M80" s="17">
        <f t="shared" si="7"/>
        <v>46113</v>
      </c>
      <c r="N80" s="17" t="str">
        <f t="shared" si="8"/>
        <v>Apr</v>
      </c>
      <c r="O80" s="10">
        <f t="shared" si="9"/>
        <v>4</v>
      </c>
      <c r="P80" s="10">
        <f>TravelExpenseTable[[#This Row],[Departure_Date]]-TravelExpenseTable[[#This Row],[Booking_Date]]</f>
        <v>44</v>
      </c>
      <c r="Q80" s="10">
        <f>TravelExpenseTable[[#This Row],[Return_Date]]-TravelExpenseTable[[#This Row],[Departure_Date]]</f>
        <v>1</v>
      </c>
      <c r="R80" s="41" t="s">
        <v>121</v>
      </c>
      <c r="S80" s="41" t="s">
        <v>82</v>
      </c>
      <c r="T80" s="5">
        <v>564.16</v>
      </c>
      <c r="U80" s="5">
        <v>293.04000000000002</v>
      </c>
      <c r="V80" s="5">
        <v>104.33</v>
      </c>
      <c r="W80" s="5">
        <v>66.209999999999994</v>
      </c>
      <c r="X80" s="5">
        <v>124.57</v>
      </c>
      <c r="Y80" s="6">
        <f>SUM(TravelExpenseTable[[#This Row],[Airfare_USD]],,,TravelExpenseTable[[#This Row],[Hotel_USD]],TravelExpenseTable[[#This Row],[Ground_Transport_USD]],TravelExpenseTable[[#This Row],[Meals_USD]],TravelExpenseTable[[#This Row],[Other_Expenses_USD]])</f>
        <v>1152.31</v>
      </c>
      <c r="Z80" s="5">
        <v>1141.02</v>
      </c>
      <c r="AA80" s="6">
        <f>TravelExpenseTable[[#This Row],[Budget_USD]]-TravelExpenseTable[[#This Row],[Total_Actual_USD]]</f>
        <v>-11.289999999999964</v>
      </c>
      <c r="AB80" s="13">
        <f>TravelExpenseTable[[#This Row],[Budget_Variance_USD]]/TravelExpenseTable[[#This Row],[Budget_USD]]</f>
        <v>-9.8946556589717648E-3</v>
      </c>
      <c r="AC80" s="6" t="str">
        <f t="shared" si="10"/>
        <v>Over Budget</v>
      </c>
      <c r="AD80" s="41" t="s">
        <v>51</v>
      </c>
      <c r="AE80" s="41" t="s">
        <v>83</v>
      </c>
      <c r="AF80" s="41" t="s">
        <v>52</v>
      </c>
      <c r="AG80" s="41" t="s">
        <v>53</v>
      </c>
      <c r="AH80" s="41"/>
    </row>
    <row r="81" spans="1:34">
      <c r="A81" s="55" t="s">
        <v>224</v>
      </c>
      <c r="B81" s="55" t="s">
        <v>179</v>
      </c>
      <c r="C81" s="55" t="s">
        <v>95</v>
      </c>
      <c r="D81" s="55" t="s">
        <v>86</v>
      </c>
      <c r="E81" s="55" t="s">
        <v>43</v>
      </c>
      <c r="F81" s="55" t="s">
        <v>74</v>
      </c>
      <c r="G81" s="55" t="s">
        <v>45</v>
      </c>
      <c r="H81" s="55" t="s">
        <v>46</v>
      </c>
      <c r="I81" s="55" t="s">
        <v>81</v>
      </c>
      <c r="J81" s="56">
        <v>46100</v>
      </c>
      <c r="K81" s="56">
        <v>46137</v>
      </c>
      <c r="L81" s="56">
        <v>46139</v>
      </c>
      <c r="M81" s="57">
        <f t="shared" si="7"/>
        <v>46113</v>
      </c>
      <c r="N81" s="57" t="str">
        <f t="shared" si="8"/>
        <v>Apr</v>
      </c>
      <c r="O81" s="58">
        <f t="shared" si="9"/>
        <v>4</v>
      </c>
      <c r="P81" s="58">
        <f>TravelExpenseTable[[#This Row],[Departure_Date]]-TravelExpenseTable[[#This Row],[Booking_Date]]</f>
        <v>37</v>
      </c>
      <c r="Q81" s="58">
        <f>TravelExpenseTable[[#This Row],[Return_Date]]-TravelExpenseTable[[#This Row],[Departure_Date]]</f>
        <v>2</v>
      </c>
      <c r="R81" s="55" t="s">
        <v>121</v>
      </c>
      <c r="S81" s="55" t="s">
        <v>82</v>
      </c>
      <c r="T81" s="59">
        <v>516.70000000000005</v>
      </c>
      <c r="U81" s="59">
        <v>472.84</v>
      </c>
      <c r="V81" s="59">
        <v>119.57</v>
      </c>
      <c r="W81" s="59">
        <v>192.77</v>
      </c>
      <c r="X81" s="59">
        <v>63.28</v>
      </c>
      <c r="Y81" s="60">
        <f>SUM(TravelExpenseTable[[#This Row],[Airfare_USD]],,,TravelExpenseTable[[#This Row],[Hotel_USD]],TravelExpenseTable[[#This Row],[Ground_Transport_USD]],TravelExpenseTable[[#This Row],[Meals_USD]],TravelExpenseTable[[#This Row],[Other_Expenses_USD]])</f>
        <v>1365.1599999999999</v>
      </c>
      <c r="Z81" s="59">
        <v>1218.69</v>
      </c>
      <c r="AA81" s="60">
        <f>TravelExpenseTable[[#This Row],[Budget_USD]]-TravelExpenseTable[[#This Row],[Total_Actual_USD]]</f>
        <v>-146.4699999999998</v>
      </c>
      <c r="AB81" s="61">
        <f>TravelExpenseTable[[#This Row],[Budget_Variance_USD]]/TravelExpenseTable[[#This Row],[Budget_USD]]</f>
        <v>-0.12018642969089743</v>
      </c>
      <c r="AC81" s="60" t="str">
        <f t="shared" si="10"/>
        <v>Over Budget</v>
      </c>
      <c r="AD81" s="55" t="s">
        <v>50</v>
      </c>
      <c r="AE81" s="55" t="s">
        <v>50</v>
      </c>
      <c r="AF81" s="55" t="s">
        <v>53</v>
      </c>
      <c r="AG81" s="55" t="s">
        <v>52</v>
      </c>
      <c r="AH81" s="55" t="s">
        <v>63</v>
      </c>
    </row>
    <row r="82" spans="1:34">
      <c r="A82" s="41" t="s">
        <v>225</v>
      </c>
      <c r="B82" s="41" t="s">
        <v>55</v>
      </c>
      <c r="C82" s="41" t="s">
        <v>56</v>
      </c>
      <c r="D82" s="41" t="s">
        <v>57</v>
      </c>
      <c r="E82" s="41" t="s">
        <v>43</v>
      </c>
      <c r="F82" s="41" t="s">
        <v>58</v>
      </c>
      <c r="G82" s="41" t="s">
        <v>59</v>
      </c>
      <c r="H82" s="41" t="s">
        <v>116</v>
      </c>
      <c r="I82" s="41" t="s">
        <v>81</v>
      </c>
      <c r="J82" s="4">
        <v>46107</v>
      </c>
      <c r="K82" s="4">
        <v>46120</v>
      </c>
      <c r="L82" s="4">
        <v>46127</v>
      </c>
      <c r="M82" s="17">
        <f t="shared" si="7"/>
        <v>46113</v>
      </c>
      <c r="N82" s="17" t="str">
        <f t="shared" si="8"/>
        <v>Apr</v>
      </c>
      <c r="O82" s="10">
        <f t="shared" si="9"/>
        <v>4</v>
      </c>
      <c r="P82" s="10">
        <f>TravelExpenseTable[[#This Row],[Departure_Date]]-TravelExpenseTable[[#This Row],[Booking_Date]]</f>
        <v>13</v>
      </c>
      <c r="Q82" s="10">
        <f>TravelExpenseTable[[#This Row],[Return_Date]]-TravelExpenseTable[[#This Row],[Departure_Date]]</f>
        <v>7</v>
      </c>
      <c r="R82" s="41" t="s">
        <v>70</v>
      </c>
      <c r="S82" s="41" t="s">
        <v>77</v>
      </c>
      <c r="T82" s="5">
        <v>773.96</v>
      </c>
      <c r="U82" s="5">
        <v>2365.4299999999998</v>
      </c>
      <c r="V82" s="5">
        <v>161.58000000000001</v>
      </c>
      <c r="W82" s="5">
        <v>545.79999999999995</v>
      </c>
      <c r="X82" s="5">
        <v>102.1</v>
      </c>
      <c r="Y82" s="6">
        <f>SUM(TravelExpenseTable[[#This Row],[Airfare_USD]],,,TravelExpenseTable[[#This Row],[Hotel_USD]],TravelExpenseTable[[#This Row],[Ground_Transport_USD]],TravelExpenseTable[[#This Row],[Meals_USD]],TravelExpenseTable[[#This Row],[Other_Expenses_USD]])</f>
        <v>3948.8699999999994</v>
      </c>
      <c r="Z82" s="5">
        <v>4191.84</v>
      </c>
      <c r="AA82" s="6">
        <f>TravelExpenseTable[[#This Row],[Budget_USD]]-TravelExpenseTable[[#This Row],[Total_Actual_USD]]</f>
        <v>242.97000000000071</v>
      </c>
      <c r="AB82" s="13">
        <f>TravelExpenseTable[[#This Row],[Budget_Variance_USD]]/TravelExpenseTable[[#This Row],[Budget_USD]]</f>
        <v>5.7962613076835159E-2</v>
      </c>
      <c r="AC82" s="6" t="str">
        <f t="shared" si="10"/>
        <v>Within Budget</v>
      </c>
      <c r="AD82" s="41" t="s">
        <v>50</v>
      </c>
      <c r="AE82" s="41" t="s">
        <v>83</v>
      </c>
      <c r="AF82" s="41" t="s">
        <v>52</v>
      </c>
      <c r="AG82" s="41" t="s">
        <v>53</v>
      </c>
      <c r="AH82" s="41"/>
    </row>
    <row r="83" spans="1:34">
      <c r="A83" s="41" t="s">
        <v>226</v>
      </c>
      <c r="B83" s="41" t="s">
        <v>55</v>
      </c>
      <c r="C83" s="41" t="s">
        <v>56</v>
      </c>
      <c r="D83" s="41" t="s">
        <v>57</v>
      </c>
      <c r="E83" s="41" t="s">
        <v>43</v>
      </c>
      <c r="F83" s="41" t="s">
        <v>44</v>
      </c>
      <c r="G83" s="41" t="s">
        <v>45</v>
      </c>
      <c r="H83" s="41" t="s">
        <v>126</v>
      </c>
      <c r="I83" s="41" t="s">
        <v>76</v>
      </c>
      <c r="J83" s="4">
        <v>46134</v>
      </c>
      <c r="K83" s="4">
        <v>46162</v>
      </c>
      <c r="L83" s="4">
        <v>46165</v>
      </c>
      <c r="M83" s="17">
        <f t="shared" si="7"/>
        <v>46143</v>
      </c>
      <c r="N83" s="17" t="str">
        <f t="shared" si="8"/>
        <v>May</v>
      </c>
      <c r="O83" s="10">
        <f t="shared" si="9"/>
        <v>5</v>
      </c>
      <c r="P83" s="10">
        <f>TravelExpenseTable[[#This Row],[Departure_Date]]-TravelExpenseTable[[#This Row],[Booking_Date]]</f>
        <v>28</v>
      </c>
      <c r="Q83" s="10">
        <f>TravelExpenseTable[[#This Row],[Return_Date]]-TravelExpenseTable[[#This Row],[Departure_Date]]</f>
        <v>3</v>
      </c>
      <c r="R83" s="41" t="s">
        <v>121</v>
      </c>
      <c r="S83" s="41" t="s">
        <v>91</v>
      </c>
      <c r="T83" s="5">
        <v>368.96</v>
      </c>
      <c r="U83" s="5">
        <v>970.65</v>
      </c>
      <c r="V83" s="5">
        <v>204.87</v>
      </c>
      <c r="W83" s="5">
        <v>186.2</v>
      </c>
      <c r="X83" s="5">
        <v>139.49</v>
      </c>
      <c r="Y83" s="6">
        <f>SUM(TravelExpenseTable[[#This Row],[Airfare_USD]],,,TravelExpenseTable[[#This Row],[Hotel_USD]],TravelExpenseTable[[#This Row],[Ground_Transport_USD]],TravelExpenseTable[[#This Row],[Meals_USD]],TravelExpenseTable[[#This Row],[Other_Expenses_USD]])</f>
        <v>1870.17</v>
      </c>
      <c r="Z83" s="5">
        <v>2040.75</v>
      </c>
      <c r="AA83" s="6">
        <f>TravelExpenseTable[[#This Row],[Budget_USD]]-TravelExpenseTable[[#This Row],[Total_Actual_USD]]</f>
        <v>170.57999999999993</v>
      </c>
      <c r="AB83" s="13">
        <f>TravelExpenseTable[[#This Row],[Budget_Variance_USD]]/TravelExpenseTable[[#This Row],[Budget_USD]]</f>
        <v>8.3586916574788644E-2</v>
      </c>
      <c r="AC83" s="6" t="str">
        <f t="shared" si="10"/>
        <v>Within Budget</v>
      </c>
      <c r="AD83" s="41" t="s">
        <v>50</v>
      </c>
      <c r="AE83" s="41" t="s">
        <v>50</v>
      </c>
      <c r="AF83" s="41" t="s">
        <v>52</v>
      </c>
      <c r="AG83" s="41" t="s">
        <v>53</v>
      </c>
      <c r="AH83" s="41"/>
    </row>
    <row r="84" spans="1:34">
      <c r="A84" s="55" t="s">
        <v>227</v>
      </c>
      <c r="B84" s="55" t="s">
        <v>140</v>
      </c>
      <c r="C84" s="55" t="s">
        <v>95</v>
      </c>
      <c r="D84" s="55" t="s">
        <v>111</v>
      </c>
      <c r="E84" s="55" t="s">
        <v>43</v>
      </c>
      <c r="F84" s="55" t="s">
        <v>182</v>
      </c>
      <c r="G84" s="55" t="s">
        <v>45</v>
      </c>
      <c r="H84" s="55" t="s">
        <v>108</v>
      </c>
      <c r="I84" s="55" t="s">
        <v>76</v>
      </c>
      <c r="J84" s="56">
        <v>46051</v>
      </c>
      <c r="K84" s="56">
        <v>46058</v>
      </c>
      <c r="L84" s="56">
        <v>46060</v>
      </c>
      <c r="M84" s="57">
        <f t="shared" si="7"/>
        <v>46054</v>
      </c>
      <c r="N84" s="57" t="str">
        <f t="shared" si="8"/>
        <v>Feb</v>
      </c>
      <c r="O84" s="58">
        <f t="shared" si="9"/>
        <v>2</v>
      </c>
      <c r="P84" s="58">
        <f>TravelExpenseTable[[#This Row],[Departure_Date]]-TravelExpenseTable[[#This Row],[Booking_Date]]</f>
        <v>7</v>
      </c>
      <c r="Q84" s="58">
        <f>TravelExpenseTable[[#This Row],[Return_Date]]-TravelExpenseTable[[#This Row],[Departure_Date]]</f>
        <v>2</v>
      </c>
      <c r="R84" s="55" t="s">
        <v>70</v>
      </c>
      <c r="S84" s="55" t="s">
        <v>77</v>
      </c>
      <c r="T84" s="59">
        <v>671.99</v>
      </c>
      <c r="U84" s="59">
        <v>589.62</v>
      </c>
      <c r="V84" s="59">
        <v>217.65</v>
      </c>
      <c r="W84" s="59">
        <v>190.14</v>
      </c>
      <c r="X84" s="59">
        <v>127.72</v>
      </c>
      <c r="Y84" s="60">
        <f>SUM(TravelExpenseTable[[#This Row],[Airfare_USD]],,,TravelExpenseTable[[#This Row],[Hotel_USD]],TravelExpenseTable[[#This Row],[Ground_Transport_USD]],TravelExpenseTable[[#This Row],[Meals_USD]],TravelExpenseTable[[#This Row],[Other_Expenses_USD]])</f>
        <v>1797.1200000000001</v>
      </c>
      <c r="Z84" s="59">
        <v>1877.99</v>
      </c>
      <c r="AA84" s="60">
        <f>TravelExpenseTable[[#This Row],[Budget_USD]]-TravelExpenseTable[[#This Row],[Total_Actual_USD]]</f>
        <v>80.869999999999891</v>
      </c>
      <c r="AB84" s="61">
        <f>TravelExpenseTable[[#This Row],[Budget_Variance_USD]]/TravelExpenseTable[[#This Row],[Budget_USD]]</f>
        <v>4.3061997135234953E-2</v>
      </c>
      <c r="AC84" s="60" t="str">
        <f t="shared" si="10"/>
        <v>Within Budget</v>
      </c>
      <c r="AD84" s="55" t="s">
        <v>50</v>
      </c>
      <c r="AE84" s="55" t="s">
        <v>83</v>
      </c>
      <c r="AF84" s="55" t="s">
        <v>53</v>
      </c>
      <c r="AG84" s="55" t="s">
        <v>52</v>
      </c>
      <c r="AH84" s="55" t="s">
        <v>63</v>
      </c>
    </row>
    <row r="85" spans="1:34">
      <c r="A85" s="55" t="s">
        <v>228</v>
      </c>
      <c r="B85" s="55" t="s">
        <v>79</v>
      </c>
      <c r="C85" s="55" t="s">
        <v>41</v>
      </c>
      <c r="D85" s="55" t="s">
        <v>42</v>
      </c>
      <c r="E85" s="55" t="s">
        <v>43</v>
      </c>
      <c r="F85" s="55" t="s">
        <v>159</v>
      </c>
      <c r="G85" s="55" t="s">
        <v>59</v>
      </c>
      <c r="H85" s="55" t="s">
        <v>75</v>
      </c>
      <c r="I85" s="55" t="s">
        <v>81</v>
      </c>
      <c r="J85" s="56">
        <v>46069</v>
      </c>
      <c r="K85" s="56">
        <v>46084</v>
      </c>
      <c r="L85" s="56">
        <v>46087</v>
      </c>
      <c r="M85" s="57">
        <f t="shared" si="7"/>
        <v>46082</v>
      </c>
      <c r="N85" s="57" t="str">
        <f t="shared" si="8"/>
        <v>Mar</v>
      </c>
      <c r="O85" s="58">
        <f t="shared" si="9"/>
        <v>3</v>
      </c>
      <c r="P85" s="58">
        <f>TravelExpenseTable[[#This Row],[Departure_Date]]-TravelExpenseTable[[#This Row],[Booking_Date]]</f>
        <v>15</v>
      </c>
      <c r="Q85" s="58">
        <f>TravelExpenseTable[[#This Row],[Return_Date]]-TravelExpenseTable[[#This Row],[Departure_Date]]</f>
        <v>3</v>
      </c>
      <c r="R85" s="55" t="s">
        <v>70</v>
      </c>
      <c r="S85" s="55" t="s">
        <v>77</v>
      </c>
      <c r="T85" s="59">
        <v>1309.42</v>
      </c>
      <c r="U85" s="59">
        <v>780.28</v>
      </c>
      <c r="V85" s="59">
        <v>270.92</v>
      </c>
      <c r="W85" s="59">
        <v>264.3</v>
      </c>
      <c r="X85" s="59">
        <v>110.15</v>
      </c>
      <c r="Y85" s="60">
        <f>SUM(TravelExpenseTable[[#This Row],[Airfare_USD]],,,TravelExpenseTable[[#This Row],[Hotel_USD]],TravelExpenseTable[[#This Row],[Ground_Transport_USD]],TravelExpenseTable[[#This Row],[Meals_USD]],TravelExpenseTable[[#This Row],[Other_Expenses_USD]])</f>
        <v>2735.07</v>
      </c>
      <c r="Z85" s="59">
        <v>2477.6</v>
      </c>
      <c r="AA85" s="60">
        <f>TravelExpenseTable[[#This Row],[Budget_USD]]-TravelExpenseTable[[#This Row],[Total_Actual_USD]]</f>
        <v>-257.47000000000025</v>
      </c>
      <c r="AB85" s="61">
        <f>TravelExpenseTable[[#This Row],[Budget_Variance_USD]]/TravelExpenseTable[[#This Row],[Budget_USD]]</f>
        <v>-0.10391911527284479</v>
      </c>
      <c r="AC85" s="60" t="str">
        <f t="shared" si="10"/>
        <v>Over Budget</v>
      </c>
      <c r="AD85" s="55" t="s">
        <v>50</v>
      </c>
      <c r="AE85" s="55" t="s">
        <v>83</v>
      </c>
      <c r="AF85" s="55" t="s">
        <v>53</v>
      </c>
      <c r="AG85" s="55" t="s">
        <v>52</v>
      </c>
      <c r="AH85" s="55" t="s">
        <v>117</v>
      </c>
    </row>
    <row r="86" spans="1:34">
      <c r="A86" s="41" t="s">
        <v>229</v>
      </c>
      <c r="B86" s="41" t="s">
        <v>149</v>
      </c>
      <c r="C86" s="41" t="s">
        <v>95</v>
      </c>
      <c r="D86" s="41" t="s">
        <v>86</v>
      </c>
      <c r="E86" s="41" t="s">
        <v>43</v>
      </c>
      <c r="F86" s="41" t="s">
        <v>74</v>
      </c>
      <c r="G86" s="41" t="s">
        <v>45</v>
      </c>
      <c r="H86" s="41" t="s">
        <v>112</v>
      </c>
      <c r="I86" s="41" t="s">
        <v>60</v>
      </c>
      <c r="J86" s="4">
        <v>46015</v>
      </c>
      <c r="K86" s="4">
        <v>46059</v>
      </c>
      <c r="L86" s="4">
        <v>46062</v>
      </c>
      <c r="M86" s="17">
        <f t="shared" si="7"/>
        <v>46054</v>
      </c>
      <c r="N86" s="17" t="str">
        <f t="shared" si="8"/>
        <v>Feb</v>
      </c>
      <c r="O86" s="10">
        <f t="shared" si="9"/>
        <v>2</v>
      </c>
      <c r="P86" s="10">
        <f>TravelExpenseTable[[#This Row],[Departure_Date]]-TravelExpenseTable[[#This Row],[Booking_Date]]</f>
        <v>44</v>
      </c>
      <c r="Q86" s="10">
        <f>TravelExpenseTable[[#This Row],[Return_Date]]-TravelExpenseTable[[#This Row],[Departure_Date]]</f>
        <v>3</v>
      </c>
      <c r="R86" s="41" t="s">
        <v>98</v>
      </c>
      <c r="S86" s="41" t="s">
        <v>77</v>
      </c>
      <c r="T86" s="5">
        <v>381.1</v>
      </c>
      <c r="U86" s="5">
        <v>794.53</v>
      </c>
      <c r="V86" s="5">
        <v>156.96</v>
      </c>
      <c r="W86" s="5">
        <v>197.75</v>
      </c>
      <c r="X86" s="5">
        <v>173.93</v>
      </c>
      <c r="Y86" s="6">
        <f>SUM(TravelExpenseTable[[#This Row],[Airfare_USD]],,,TravelExpenseTable[[#This Row],[Hotel_USD]],TravelExpenseTable[[#This Row],[Ground_Transport_USD]],TravelExpenseTable[[#This Row],[Meals_USD]],TravelExpenseTable[[#This Row],[Other_Expenses_USD]])</f>
        <v>1704.2700000000002</v>
      </c>
      <c r="Z86" s="5">
        <v>1720.95</v>
      </c>
      <c r="AA86" s="6">
        <f>TravelExpenseTable[[#This Row],[Budget_USD]]-TravelExpenseTable[[#This Row],[Total_Actual_USD]]</f>
        <v>16.679999999999836</v>
      </c>
      <c r="AB86" s="13">
        <f>TravelExpenseTable[[#This Row],[Budget_Variance_USD]]/TravelExpenseTable[[#This Row],[Budget_USD]]</f>
        <v>9.6923211017169789E-3</v>
      </c>
      <c r="AC86" s="6" t="str">
        <f t="shared" si="10"/>
        <v>Within Budget</v>
      </c>
      <c r="AD86" s="41" t="s">
        <v>50</v>
      </c>
      <c r="AE86" s="41" t="s">
        <v>92</v>
      </c>
      <c r="AF86" s="41" t="s">
        <v>52</v>
      </c>
      <c r="AG86" s="41" t="s">
        <v>53</v>
      </c>
      <c r="AH86" s="41"/>
    </row>
    <row r="87" spans="1:34">
      <c r="A87" s="41" t="s">
        <v>230</v>
      </c>
      <c r="B87" s="41" t="s">
        <v>106</v>
      </c>
      <c r="C87" s="41" t="s">
        <v>41</v>
      </c>
      <c r="D87" s="41" t="s">
        <v>107</v>
      </c>
      <c r="E87" s="41" t="s">
        <v>43</v>
      </c>
      <c r="F87" s="41" t="s">
        <v>125</v>
      </c>
      <c r="G87" s="41" t="s">
        <v>45</v>
      </c>
      <c r="H87" s="41" t="s">
        <v>126</v>
      </c>
      <c r="I87" s="41" t="s">
        <v>47</v>
      </c>
      <c r="J87" s="4">
        <v>46051</v>
      </c>
      <c r="K87" s="4">
        <v>46068</v>
      </c>
      <c r="L87" s="4">
        <v>46071</v>
      </c>
      <c r="M87" s="17">
        <f t="shared" si="7"/>
        <v>46054</v>
      </c>
      <c r="N87" s="17" t="str">
        <f t="shared" si="8"/>
        <v>Feb</v>
      </c>
      <c r="O87" s="10">
        <f t="shared" si="9"/>
        <v>2</v>
      </c>
      <c r="P87" s="10">
        <f>TravelExpenseTable[[#This Row],[Departure_Date]]-TravelExpenseTable[[#This Row],[Booking_Date]]</f>
        <v>17</v>
      </c>
      <c r="Q87" s="10">
        <f>TravelExpenseTable[[#This Row],[Return_Date]]-TravelExpenseTable[[#This Row],[Departure_Date]]</f>
        <v>3</v>
      </c>
      <c r="R87" s="41" t="s">
        <v>48</v>
      </c>
      <c r="S87" s="41" t="s">
        <v>113</v>
      </c>
      <c r="T87" s="5">
        <v>352.85</v>
      </c>
      <c r="U87" s="5">
        <v>1041.03</v>
      </c>
      <c r="V87" s="5">
        <v>141.4</v>
      </c>
      <c r="W87" s="5">
        <v>187.53</v>
      </c>
      <c r="X87" s="5">
        <v>54.51</v>
      </c>
      <c r="Y87" s="6">
        <f>SUM(TravelExpenseTable[[#This Row],[Airfare_USD]],,,TravelExpenseTable[[#This Row],[Hotel_USD]],TravelExpenseTable[[#This Row],[Ground_Transport_USD]],TravelExpenseTable[[#This Row],[Meals_USD]],TravelExpenseTable[[#This Row],[Other_Expenses_USD]])</f>
        <v>1777.3200000000002</v>
      </c>
      <c r="Z87" s="5">
        <v>1848.49</v>
      </c>
      <c r="AA87" s="6">
        <f>TravelExpenseTable[[#This Row],[Budget_USD]]-TravelExpenseTable[[#This Row],[Total_Actual_USD]]</f>
        <v>71.169999999999845</v>
      </c>
      <c r="AB87" s="13">
        <f>TravelExpenseTable[[#This Row],[Budget_Variance_USD]]/TravelExpenseTable[[#This Row],[Budget_USD]]</f>
        <v>3.8501695978879973E-2</v>
      </c>
      <c r="AC87" s="6" t="str">
        <f t="shared" si="10"/>
        <v>Within Budget</v>
      </c>
      <c r="AD87" s="41" t="s">
        <v>51</v>
      </c>
      <c r="AE87" s="41" t="s">
        <v>51</v>
      </c>
      <c r="AF87" s="41" t="s">
        <v>52</v>
      </c>
      <c r="AG87" s="41" t="s">
        <v>53</v>
      </c>
      <c r="AH87" s="41"/>
    </row>
    <row r="88" spans="1:34">
      <c r="A88" s="55" t="s">
        <v>231</v>
      </c>
      <c r="B88" s="55" t="s">
        <v>119</v>
      </c>
      <c r="C88" s="55" t="s">
        <v>41</v>
      </c>
      <c r="D88" s="55" t="s">
        <v>111</v>
      </c>
      <c r="E88" s="55" t="s">
        <v>43</v>
      </c>
      <c r="F88" s="55" t="s">
        <v>44</v>
      </c>
      <c r="G88" s="55" t="s">
        <v>45</v>
      </c>
      <c r="H88" s="55" t="s">
        <v>116</v>
      </c>
      <c r="I88" s="55" t="s">
        <v>81</v>
      </c>
      <c r="J88" s="56">
        <v>46031</v>
      </c>
      <c r="K88" s="56">
        <v>46070</v>
      </c>
      <c r="L88" s="56">
        <v>46073</v>
      </c>
      <c r="M88" s="57">
        <f t="shared" si="7"/>
        <v>46054</v>
      </c>
      <c r="N88" s="57" t="str">
        <f t="shared" si="8"/>
        <v>Feb</v>
      </c>
      <c r="O88" s="58">
        <f t="shared" si="9"/>
        <v>2</v>
      </c>
      <c r="P88" s="58">
        <f>TravelExpenseTable[[#This Row],[Departure_Date]]-TravelExpenseTable[[#This Row],[Booking_Date]]</f>
        <v>39</v>
      </c>
      <c r="Q88" s="58">
        <f>TravelExpenseTable[[#This Row],[Return_Date]]-TravelExpenseTable[[#This Row],[Departure_Date]]</f>
        <v>3</v>
      </c>
      <c r="R88" s="55" t="s">
        <v>102</v>
      </c>
      <c r="S88" s="55" t="s">
        <v>82</v>
      </c>
      <c r="T88" s="59">
        <v>705.19</v>
      </c>
      <c r="U88" s="59">
        <v>1120.18</v>
      </c>
      <c r="V88" s="59">
        <v>117.9</v>
      </c>
      <c r="W88" s="59">
        <v>280.02</v>
      </c>
      <c r="X88" s="59">
        <v>89.65</v>
      </c>
      <c r="Y88" s="60">
        <f>SUM(TravelExpenseTable[[#This Row],[Airfare_USD]],,,TravelExpenseTable[[#This Row],[Hotel_USD]],TravelExpenseTable[[#This Row],[Ground_Transport_USD]],TravelExpenseTable[[#This Row],[Meals_USD]],TravelExpenseTable[[#This Row],[Other_Expenses_USD]])</f>
        <v>2312.94</v>
      </c>
      <c r="Z88" s="59">
        <v>2470.5700000000002</v>
      </c>
      <c r="AA88" s="60">
        <f>TravelExpenseTable[[#This Row],[Budget_USD]]-TravelExpenseTable[[#This Row],[Total_Actual_USD]]</f>
        <v>157.63000000000011</v>
      </c>
      <c r="AB88" s="61">
        <f>TravelExpenseTable[[#This Row],[Budget_Variance_USD]]/TravelExpenseTable[[#This Row],[Budget_USD]]</f>
        <v>6.3803089975187952E-2</v>
      </c>
      <c r="AC88" s="60" t="str">
        <f t="shared" si="10"/>
        <v>Within Budget</v>
      </c>
      <c r="AD88" s="55" t="s">
        <v>50</v>
      </c>
      <c r="AE88" s="55" t="s">
        <v>51</v>
      </c>
      <c r="AF88" s="55" t="s">
        <v>53</v>
      </c>
      <c r="AG88" s="55" t="s">
        <v>52</v>
      </c>
      <c r="AH88" s="55" t="s">
        <v>63</v>
      </c>
    </row>
    <row r="89" spans="1:34">
      <c r="A89" s="41" t="s">
        <v>232</v>
      </c>
      <c r="B89" s="41" t="s">
        <v>106</v>
      </c>
      <c r="C89" s="41" t="s">
        <v>41</v>
      </c>
      <c r="D89" s="41" t="s">
        <v>107</v>
      </c>
      <c r="E89" s="41" t="s">
        <v>43</v>
      </c>
      <c r="F89" s="41" t="s">
        <v>80</v>
      </c>
      <c r="G89" s="41" t="s">
        <v>59</v>
      </c>
      <c r="H89" s="41" t="s">
        <v>108</v>
      </c>
      <c r="I89" s="41" t="s">
        <v>60</v>
      </c>
      <c r="J89" s="4">
        <v>46032</v>
      </c>
      <c r="K89" s="4">
        <v>46045</v>
      </c>
      <c r="L89" s="4">
        <v>46048</v>
      </c>
      <c r="M89" s="17">
        <f t="shared" si="7"/>
        <v>46023</v>
      </c>
      <c r="N89" s="17" t="str">
        <f t="shared" si="8"/>
        <v>Jan</v>
      </c>
      <c r="O89" s="10">
        <f t="shared" si="9"/>
        <v>1</v>
      </c>
      <c r="P89" s="10">
        <f>TravelExpenseTable[[#This Row],[Departure_Date]]-TravelExpenseTable[[#This Row],[Booking_Date]]</f>
        <v>13</v>
      </c>
      <c r="Q89" s="10">
        <f>TravelExpenseTable[[#This Row],[Return_Date]]-TravelExpenseTable[[#This Row],[Departure_Date]]</f>
        <v>3</v>
      </c>
      <c r="R89" s="41" t="s">
        <v>144</v>
      </c>
      <c r="S89" s="41" t="s">
        <v>77</v>
      </c>
      <c r="T89" s="5">
        <v>1074.21</v>
      </c>
      <c r="U89" s="5">
        <v>651.89</v>
      </c>
      <c r="V89" s="5">
        <v>285.37</v>
      </c>
      <c r="W89" s="5">
        <v>222.48</v>
      </c>
      <c r="X89" s="5">
        <v>177.84</v>
      </c>
      <c r="Y89" s="6">
        <f>SUM(TravelExpenseTable[[#This Row],[Airfare_USD]],,,TravelExpenseTable[[#This Row],[Hotel_USD]],TravelExpenseTable[[#This Row],[Ground_Transport_USD]],TravelExpenseTable[[#This Row],[Meals_USD]],TravelExpenseTable[[#This Row],[Other_Expenses_USD]])</f>
        <v>2411.79</v>
      </c>
      <c r="Z89" s="5">
        <v>2372.2600000000002</v>
      </c>
      <c r="AA89" s="6">
        <f>TravelExpenseTable[[#This Row],[Budget_USD]]-TravelExpenseTable[[#This Row],[Total_Actual_USD]]</f>
        <v>-39.529999999999745</v>
      </c>
      <c r="AB89" s="13">
        <f>TravelExpenseTable[[#This Row],[Budget_Variance_USD]]/TravelExpenseTable[[#This Row],[Budget_USD]]</f>
        <v>-1.6663434868016046E-2</v>
      </c>
      <c r="AC89" s="6" t="str">
        <f t="shared" si="10"/>
        <v>Over Budget</v>
      </c>
      <c r="AD89" s="41" t="s">
        <v>50</v>
      </c>
      <c r="AE89" s="41" t="s">
        <v>50</v>
      </c>
      <c r="AF89" s="41" t="s">
        <v>52</v>
      </c>
      <c r="AG89" s="41" t="s">
        <v>53</v>
      </c>
      <c r="AH89" s="41"/>
    </row>
    <row r="90" spans="1:34">
      <c r="A90" s="55" t="s">
        <v>233</v>
      </c>
      <c r="B90" s="55" t="s">
        <v>65</v>
      </c>
      <c r="C90" s="55" t="s">
        <v>66</v>
      </c>
      <c r="D90" s="55" t="s">
        <v>67</v>
      </c>
      <c r="E90" s="55" t="s">
        <v>43</v>
      </c>
      <c r="F90" s="55" t="s">
        <v>120</v>
      </c>
      <c r="G90" s="55" t="s">
        <v>59</v>
      </c>
      <c r="H90" s="55" t="s">
        <v>108</v>
      </c>
      <c r="I90" s="55" t="s">
        <v>81</v>
      </c>
      <c r="J90" s="56">
        <v>46036</v>
      </c>
      <c r="K90" s="56">
        <v>46054</v>
      </c>
      <c r="L90" s="56">
        <v>46059</v>
      </c>
      <c r="M90" s="57">
        <f t="shared" si="7"/>
        <v>46054</v>
      </c>
      <c r="N90" s="57" t="str">
        <f t="shared" si="8"/>
        <v>Feb</v>
      </c>
      <c r="O90" s="58">
        <f t="shared" si="9"/>
        <v>2</v>
      </c>
      <c r="P90" s="58">
        <f>TravelExpenseTable[[#This Row],[Departure_Date]]-TravelExpenseTable[[#This Row],[Booking_Date]]</f>
        <v>18</v>
      </c>
      <c r="Q90" s="58">
        <f>TravelExpenseTable[[#This Row],[Return_Date]]-TravelExpenseTable[[#This Row],[Departure_Date]]</f>
        <v>5</v>
      </c>
      <c r="R90" s="55" t="s">
        <v>102</v>
      </c>
      <c r="S90" s="55" t="s">
        <v>113</v>
      </c>
      <c r="T90" s="59">
        <v>854.97</v>
      </c>
      <c r="U90" s="59">
        <v>998.08</v>
      </c>
      <c r="V90" s="59">
        <v>306.35000000000002</v>
      </c>
      <c r="W90" s="59">
        <v>534.25</v>
      </c>
      <c r="X90" s="59">
        <v>75.260000000000005</v>
      </c>
      <c r="Y90" s="60">
        <f>SUM(TravelExpenseTable[[#This Row],[Airfare_USD]],,,TravelExpenseTable[[#This Row],[Hotel_USD]],TravelExpenseTable[[#This Row],[Ground_Transport_USD]],TravelExpenseTable[[#This Row],[Meals_USD]],TravelExpenseTable[[#This Row],[Other_Expenses_USD]])</f>
        <v>2768.9100000000003</v>
      </c>
      <c r="Z90" s="59">
        <v>3236.32</v>
      </c>
      <c r="AA90" s="60">
        <f>TravelExpenseTable[[#This Row],[Budget_USD]]-TravelExpenseTable[[#This Row],[Total_Actual_USD]]</f>
        <v>467.40999999999985</v>
      </c>
      <c r="AB90" s="61">
        <f>TravelExpenseTable[[#This Row],[Budget_Variance_USD]]/TravelExpenseTable[[#This Row],[Budget_USD]]</f>
        <v>0.14442638552429915</v>
      </c>
      <c r="AC90" s="60" t="str">
        <f t="shared" si="10"/>
        <v>Within Budget</v>
      </c>
      <c r="AD90" s="55" t="s">
        <v>50</v>
      </c>
      <c r="AE90" s="55" t="s">
        <v>83</v>
      </c>
      <c r="AF90" s="55" t="s">
        <v>53</v>
      </c>
      <c r="AG90" s="55" t="s">
        <v>52</v>
      </c>
      <c r="AH90" s="55" t="s">
        <v>63</v>
      </c>
    </row>
    <row r="91" spans="1:34">
      <c r="A91" s="41" t="s">
        <v>234</v>
      </c>
      <c r="B91" s="41" t="s">
        <v>123</v>
      </c>
      <c r="C91" s="41" t="s">
        <v>41</v>
      </c>
      <c r="D91" s="41" t="s">
        <v>124</v>
      </c>
      <c r="E91" s="41" t="s">
        <v>43</v>
      </c>
      <c r="F91" s="41" t="s">
        <v>101</v>
      </c>
      <c r="G91" s="41" t="s">
        <v>59</v>
      </c>
      <c r="H91" s="41" t="s">
        <v>46</v>
      </c>
      <c r="I91" s="41" t="s">
        <v>81</v>
      </c>
      <c r="J91" s="4">
        <v>46124</v>
      </c>
      <c r="K91" s="4">
        <v>46158</v>
      </c>
      <c r="L91" s="4">
        <v>46164</v>
      </c>
      <c r="M91" s="17">
        <f t="shared" si="7"/>
        <v>46143</v>
      </c>
      <c r="N91" s="17" t="str">
        <f t="shared" si="8"/>
        <v>May</v>
      </c>
      <c r="O91" s="10">
        <f t="shared" si="9"/>
        <v>5</v>
      </c>
      <c r="P91" s="10">
        <f>TravelExpenseTable[[#This Row],[Departure_Date]]-TravelExpenseTable[[#This Row],[Booking_Date]]</f>
        <v>34</v>
      </c>
      <c r="Q91" s="10">
        <f>TravelExpenseTable[[#This Row],[Return_Date]]-TravelExpenseTable[[#This Row],[Departure_Date]]</f>
        <v>6</v>
      </c>
      <c r="R91" s="41" t="s">
        <v>144</v>
      </c>
      <c r="S91" s="41" t="s">
        <v>62</v>
      </c>
      <c r="T91" s="5">
        <v>1014.47</v>
      </c>
      <c r="U91" s="5">
        <v>1414.43</v>
      </c>
      <c r="V91" s="5">
        <v>215.84</v>
      </c>
      <c r="W91" s="5">
        <v>347.52</v>
      </c>
      <c r="X91" s="5">
        <v>50.64</v>
      </c>
      <c r="Y91" s="6">
        <f>SUM(TravelExpenseTable[[#This Row],[Airfare_USD]],,,TravelExpenseTable[[#This Row],[Hotel_USD]],TravelExpenseTable[[#This Row],[Ground_Transport_USD]],TravelExpenseTable[[#This Row],[Meals_USD]],TravelExpenseTable[[#This Row],[Other_Expenses_USD]])</f>
        <v>3042.9</v>
      </c>
      <c r="Z91" s="5">
        <v>3223.21</v>
      </c>
      <c r="AA91" s="6">
        <f>TravelExpenseTable[[#This Row],[Budget_USD]]-TravelExpenseTable[[#This Row],[Total_Actual_USD]]</f>
        <v>180.30999999999995</v>
      </c>
      <c r="AB91" s="13">
        <f>TravelExpenseTable[[#This Row],[Budget_Variance_USD]]/TravelExpenseTable[[#This Row],[Budget_USD]]</f>
        <v>5.5941127013132856E-2</v>
      </c>
      <c r="AC91" s="6" t="str">
        <f t="shared" si="10"/>
        <v>Within Budget</v>
      </c>
      <c r="AD91" s="41" t="s">
        <v>50</v>
      </c>
      <c r="AE91" s="41" t="s">
        <v>83</v>
      </c>
      <c r="AF91" s="41" t="s">
        <v>52</v>
      </c>
      <c r="AG91" s="41" t="s">
        <v>53</v>
      </c>
      <c r="AH91" s="41"/>
    </row>
    <row r="92" spans="1:34">
      <c r="A92" s="41" t="s">
        <v>235</v>
      </c>
      <c r="B92" s="41" t="s">
        <v>89</v>
      </c>
      <c r="C92" s="41" t="s">
        <v>66</v>
      </c>
      <c r="D92" s="41" t="s">
        <v>57</v>
      </c>
      <c r="E92" s="41" t="s">
        <v>43</v>
      </c>
      <c r="F92" s="41" t="s">
        <v>172</v>
      </c>
      <c r="G92" s="41" t="s">
        <v>59</v>
      </c>
      <c r="H92" s="41" t="s">
        <v>97</v>
      </c>
      <c r="I92" s="41" t="s">
        <v>81</v>
      </c>
      <c r="J92" s="4">
        <v>46035</v>
      </c>
      <c r="K92" s="4">
        <v>46061</v>
      </c>
      <c r="L92" s="4">
        <v>46066</v>
      </c>
      <c r="M92" s="17">
        <f t="shared" si="7"/>
        <v>46054</v>
      </c>
      <c r="N92" s="17" t="str">
        <f t="shared" si="8"/>
        <v>Feb</v>
      </c>
      <c r="O92" s="10">
        <f t="shared" si="9"/>
        <v>2</v>
      </c>
      <c r="P92" s="10">
        <f>TravelExpenseTable[[#This Row],[Departure_Date]]-TravelExpenseTable[[#This Row],[Booking_Date]]</f>
        <v>26</v>
      </c>
      <c r="Q92" s="10">
        <f>TravelExpenseTable[[#This Row],[Return_Date]]-TravelExpenseTable[[#This Row],[Departure_Date]]</f>
        <v>5</v>
      </c>
      <c r="R92" s="41" t="s">
        <v>121</v>
      </c>
      <c r="S92" s="41" t="s">
        <v>62</v>
      </c>
      <c r="T92" s="5">
        <v>1327.31</v>
      </c>
      <c r="U92" s="5">
        <v>1134.92</v>
      </c>
      <c r="V92" s="5">
        <v>208.31</v>
      </c>
      <c r="W92" s="5">
        <v>297.06</v>
      </c>
      <c r="X92" s="5">
        <v>90.77</v>
      </c>
      <c r="Y92" s="6">
        <f>SUM(TravelExpenseTable[[#This Row],[Airfare_USD]],,,TravelExpenseTable[[#This Row],[Hotel_USD]],TravelExpenseTable[[#This Row],[Ground_Transport_USD]],TravelExpenseTable[[#This Row],[Meals_USD]],TravelExpenseTable[[#This Row],[Other_Expenses_USD]])</f>
        <v>3058.37</v>
      </c>
      <c r="Z92" s="5">
        <v>3392.71</v>
      </c>
      <c r="AA92" s="6">
        <f>TravelExpenseTable[[#This Row],[Budget_USD]]-TravelExpenseTable[[#This Row],[Total_Actual_USD]]</f>
        <v>334.34000000000015</v>
      </c>
      <c r="AB92" s="13">
        <f>TravelExpenseTable[[#This Row],[Budget_Variance_USD]]/TravelExpenseTable[[#This Row],[Budget_USD]]</f>
        <v>9.8546589599464773E-2</v>
      </c>
      <c r="AC92" s="6" t="str">
        <f t="shared" si="10"/>
        <v>Within Budget</v>
      </c>
      <c r="AD92" s="41" t="s">
        <v>50</v>
      </c>
      <c r="AE92" s="41" t="s">
        <v>50</v>
      </c>
      <c r="AF92" s="41" t="s">
        <v>52</v>
      </c>
      <c r="AG92" s="41" t="s">
        <v>53</v>
      </c>
      <c r="AH92" s="41"/>
    </row>
    <row r="93" spans="1:34">
      <c r="A93" s="41" t="s">
        <v>236</v>
      </c>
      <c r="B93" s="41" t="s">
        <v>170</v>
      </c>
      <c r="C93" s="41" t="s">
        <v>95</v>
      </c>
      <c r="D93" s="41" t="s">
        <v>67</v>
      </c>
      <c r="E93" s="41" t="s">
        <v>43</v>
      </c>
      <c r="F93" s="41" t="s">
        <v>44</v>
      </c>
      <c r="G93" s="41" t="s">
        <v>45</v>
      </c>
      <c r="H93" s="41" t="s">
        <v>126</v>
      </c>
      <c r="I93" s="41" t="s">
        <v>47</v>
      </c>
      <c r="J93" s="4">
        <v>46025</v>
      </c>
      <c r="K93" s="4">
        <v>46051</v>
      </c>
      <c r="L93" s="4">
        <v>46055</v>
      </c>
      <c r="M93" s="17">
        <f t="shared" si="7"/>
        <v>46023</v>
      </c>
      <c r="N93" s="17" t="str">
        <f t="shared" si="8"/>
        <v>Jan</v>
      </c>
      <c r="O93" s="10">
        <f t="shared" si="9"/>
        <v>1</v>
      </c>
      <c r="P93" s="10">
        <f>TravelExpenseTable[[#This Row],[Departure_Date]]-TravelExpenseTable[[#This Row],[Booking_Date]]</f>
        <v>26</v>
      </c>
      <c r="Q93" s="10">
        <f>TravelExpenseTable[[#This Row],[Return_Date]]-TravelExpenseTable[[#This Row],[Departure_Date]]</f>
        <v>4</v>
      </c>
      <c r="R93" s="41" t="s">
        <v>48</v>
      </c>
      <c r="S93" s="41" t="s">
        <v>71</v>
      </c>
      <c r="T93" s="5">
        <v>509.65</v>
      </c>
      <c r="U93" s="5">
        <v>1280.06</v>
      </c>
      <c r="V93" s="5">
        <v>52.93</v>
      </c>
      <c r="W93" s="5">
        <v>252.89</v>
      </c>
      <c r="X93" s="5">
        <v>59.95</v>
      </c>
      <c r="Y93" s="6">
        <f>SUM(TravelExpenseTable[[#This Row],[Airfare_USD]],,,TravelExpenseTable[[#This Row],[Hotel_USD]],TravelExpenseTable[[#This Row],[Ground_Transport_USD]],TravelExpenseTable[[#This Row],[Meals_USD]],TravelExpenseTable[[#This Row],[Other_Expenses_USD]])</f>
        <v>2155.48</v>
      </c>
      <c r="Z93" s="5">
        <v>2203.17</v>
      </c>
      <c r="AA93" s="6">
        <f>TravelExpenseTable[[#This Row],[Budget_USD]]-TravelExpenseTable[[#This Row],[Total_Actual_USD]]</f>
        <v>47.690000000000055</v>
      </c>
      <c r="AB93" s="13">
        <f>TravelExpenseTable[[#This Row],[Budget_Variance_USD]]/TravelExpenseTable[[#This Row],[Budget_USD]]</f>
        <v>2.1646082689942243E-2</v>
      </c>
      <c r="AC93" s="6" t="str">
        <f t="shared" si="10"/>
        <v>Within Budget</v>
      </c>
      <c r="AD93" s="41" t="s">
        <v>50</v>
      </c>
      <c r="AE93" s="41" t="s">
        <v>50</v>
      </c>
      <c r="AF93" s="41" t="s">
        <v>52</v>
      </c>
      <c r="AG93" s="41" t="s">
        <v>53</v>
      </c>
      <c r="AH93" s="41"/>
    </row>
    <row r="94" spans="1:34">
      <c r="A94" s="41" t="s">
        <v>237</v>
      </c>
      <c r="B94" s="41" t="s">
        <v>65</v>
      </c>
      <c r="C94" s="41" t="s">
        <v>66</v>
      </c>
      <c r="D94" s="41" t="s">
        <v>67</v>
      </c>
      <c r="E94" s="41" t="s">
        <v>43</v>
      </c>
      <c r="F94" s="41" t="s">
        <v>44</v>
      </c>
      <c r="G94" s="41" t="s">
        <v>45</v>
      </c>
      <c r="H94" s="41" t="s">
        <v>97</v>
      </c>
      <c r="I94" s="41" t="s">
        <v>60</v>
      </c>
      <c r="J94" s="4">
        <v>46097</v>
      </c>
      <c r="K94" s="4">
        <v>46110</v>
      </c>
      <c r="L94" s="4">
        <v>46113</v>
      </c>
      <c r="M94" s="17">
        <f t="shared" si="7"/>
        <v>46082</v>
      </c>
      <c r="N94" s="17" t="str">
        <f t="shared" si="8"/>
        <v>Mar</v>
      </c>
      <c r="O94" s="10">
        <f t="shared" si="9"/>
        <v>3</v>
      </c>
      <c r="P94" s="10">
        <f>TravelExpenseTable[[#This Row],[Departure_Date]]-TravelExpenseTable[[#This Row],[Booking_Date]]</f>
        <v>13</v>
      </c>
      <c r="Q94" s="10">
        <f>TravelExpenseTable[[#This Row],[Return_Date]]-TravelExpenseTable[[#This Row],[Departure_Date]]</f>
        <v>3</v>
      </c>
      <c r="R94" s="41" t="s">
        <v>48</v>
      </c>
      <c r="S94" s="41" t="s">
        <v>113</v>
      </c>
      <c r="T94" s="5">
        <v>685.43</v>
      </c>
      <c r="U94" s="5">
        <v>953.91</v>
      </c>
      <c r="V94" s="5">
        <v>143.51</v>
      </c>
      <c r="W94" s="5">
        <v>250.48</v>
      </c>
      <c r="X94" s="5">
        <v>2.99</v>
      </c>
      <c r="Y94" s="6">
        <f>SUM(TravelExpenseTable[[#This Row],[Airfare_USD]],,,TravelExpenseTable[[#This Row],[Hotel_USD]],TravelExpenseTable[[#This Row],[Ground_Transport_USD]],TravelExpenseTable[[#This Row],[Meals_USD]],TravelExpenseTable[[#This Row],[Other_Expenses_USD]])</f>
        <v>2036.32</v>
      </c>
      <c r="Z94" s="5">
        <v>1994.31</v>
      </c>
      <c r="AA94" s="6">
        <f>TravelExpenseTable[[#This Row],[Budget_USD]]-TravelExpenseTable[[#This Row],[Total_Actual_USD]]</f>
        <v>-42.009999999999991</v>
      </c>
      <c r="AB94" s="13">
        <f>TravelExpenseTable[[#This Row],[Budget_Variance_USD]]/TravelExpenseTable[[#This Row],[Budget_USD]]</f>
        <v>-2.1064929725067814E-2</v>
      </c>
      <c r="AC94" s="6" t="str">
        <f t="shared" si="10"/>
        <v>Over Budget</v>
      </c>
      <c r="AD94" s="41" t="s">
        <v>50</v>
      </c>
      <c r="AE94" s="41" t="s">
        <v>83</v>
      </c>
      <c r="AF94" s="41" t="s">
        <v>52</v>
      </c>
      <c r="AG94" s="41" t="s">
        <v>53</v>
      </c>
      <c r="AH94" s="41"/>
    </row>
    <row r="95" spans="1:34">
      <c r="A95" s="55" t="s">
        <v>238</v>
      </c>
      <c r="B95" s="55" t="s">
        <v>219</v>
      </c>
      <c r="C95" s="55" t="s">
        <v>95</v>
      </c>
      <c r="D95" s="55" t="s">
        <v>107</v>
      </c>
      <c r="E95" s="55" t="s">
        <v>43</v>
      </c>
      <c r="F95" s="55" t="s">
        <v>101</v>
      </c>
      <c r="G95" s="55" t="s">
        <v>59</v>
      </c>
      <c r="H95" s="55" t="s">
        <v>69</v>
      </c>
      <c r="I95" s="55" t="s">
        <v>60</v>
      </c>
      <c r="J95" s="56">
        <v>46055</v>
      </c>
      <c r="K95" s="56">
        <v>46094</v>
      </c>
      <c r="L95" s="56">
        <v>46101</v>
      </c>
      <c r="M95" s="57">
        <f t="shared" si="7"/>
        <v>46082</v>
      </c>
      <c r="N95" s="57" t="str">
        <f t="shared" si="8"/>
        <v>Mar</v>
      </c>
      <c r="O95" s="58">
        <f t="shared" si="9"/>
        <v>3</v>
      </c>
      <c r="P95" s="58">
        <f>TravelExpenseTable[[#This Row],[Departure_Date]]-TravelExpenseTable[[#This Row],[Booking_Date]]</f>
        <v>39</v>
      </c>
      <c r="Q95" s="58">
        <f>TravelExpenseTable[[#This Row],[Return_Date]]-TravelExpenseTable[[#This Row],[Departure_Date]]</f>
        <v>7</v>
      </c>
      <c r="R95" s="55" t="s">
        <v>188</v>
      </c>
      <c r="S95" s="55" t="s">
        <v>62</v>
      </c>
      <c r="T95" s="59">
        <v>810.26</v>
      </c>
      <c r="U95" s="59">
        <v>2154.25</v>
      </c>
      <c r="V95" s="59">
        <v>280.29000000000002</v>
      </c>
      <c r="W95" s="59">
        <v>447.07</v>
      </c>
      <c r="X95" s="59">
        <v>122.53</v>
      </c>
      <c r="Y95" s="60">
        <f>SUM(TravelExpenseTable[[#This Row],[Airfare_USD]],,,TravelExpenseTable[[#This Row],[Hotel_USD]],TravelExpenseTable[[#This Row],[Ground_Transport_USD]],TravelExpenseTable[[#This Row],[Meals_USD]],TravelExpenseTable[[#This Row],[Other_Expenses_USD]])</f>
        <v>3814.4000000000005</v>
      </c>
      <c r="Z95" s="59">
        <v>3392.8</v>
      </c>
      <c r="AA95" s="60">
        <f>TravelExpenseTable[[#This Row],[Budget_USD]]-TravelExpenseTable[[#This Row],[Total_Actual_USD]]</f>
        <v>-421.60000000000036</v>
      </c>
      <c r="AB95" s="61">
        <f>TravelExpenseTable[[#This Row],[Budget_Variance_USD]]/TravelExpenseTable[[#This Row],[Budget_USD]]</f>
        <v>-0.12426314548455562</v>
      </c>
      <c r="AC95" s="60" t="str">
        <f t="shared" si="10"/>
        <v>Over Budget</v>
      </c>
      <c r="AD95" s="55" t="s">
        <v>50</v>
      </c>
      <c r="AE95" s="55" t="s">
        <v>50</v>
      </c>
      <c r="AF95" s="55" t="s">
        <v>52</v>
      </c>
      <c r="AG95" s="55" t="s">
        <v>52</v>
      </c>
      <c r="AH95" s="55" t="s">
        <v>117</v>
      </c>
    </row>
    <row r="96" spans="1:34">
      <c r="A96" s="41" t="s">
        <v>239</v>
      </c>
      <c r="B96" s="41" t="s">
        <v>149</v>
      </c>
      <c r="C96" s="41" t="s">
        <v>95</v>
      </c>
      <c r="D96" s="41" t="s">
        <v>86</v>
      </c>
      <c r="E96" s="41" t="s">
        <v>43</v>
      </c>
      <c r="F96" s="41" t="s">
        <v>182</v>
      </c>
      <c r="G96" s="41" t="s">
        <v>45</v>
      </c>
      <c r="H96" s="41" t="s">
        <v>75</v>
      </c>
      <c r="I96" s="41" t="s">
        <v>60</v>
      </c>
      <c r="J96" s="4">
        <v>46126</v>
      </c>
      <c r="K96" s="4">
        <v>46132</v>
      </c>
      <c r="L96" s="4">
        <v>46136</v>
      </c>
      <c r="M96" s="17">
        <f t="shared" si="7"/>
        <v>46113</v>
      </c>
      <c r="N96" s="17" t="str">
        <f t="shared" si="8"/>
        <v>Apr</v>
      </c>
      <c r="O96" s="10">
        <f t="shared" si="9"/>
        <v>4</v>
      </c>
      <c r="P96" s="10">
        <f>TravelExpenseTable[[#This Row],[Departure_Date]]-TravelExpenseTable[[#This Row],[Booking_Date]]</f>
        <v>6</v>
      </c>
      <c r="Q96" s="10">
        <f>TravelExpenseTable[[#This Row],[Return_Date]]-TravelExpenseTable[[#This Row],[Departure_Date]]</f>
        <v>4</v>
      </c>
      <c r="R96" s="41" t="s">
        <v>48</v>
      </c>
      <c r="S96" s="41" t="s">
        <v>91</v>
      </c>
      <c r="T96" s="5">
        <v>1027.8699999999999</v>
      </c>
      <c r="U96" s="5">
        <v>801.17</v>
      </c>
      <c r="V96" s="5">
        <v>212.42</v>
      </c>
      <c r="W96" s="5">
        <v>330.32</v>
      </c>
      <c r="X96" s="5">
        <v>95.96</v>
      </c>
      <c r="Y96" s="6">
        <f>SUM(TravelExpenseTable[[#This Row],[Airfare_USD]],,,TravelExpenseTable[[#This Row],[Hotel_USD]],TravelExpenseTable[[#This Row],[Ground_Transport_USD]],TravelExpenseTable[[#This Row],[Meals_USD]],TravelExpenseTable[[#This Row],[Other_Expenses_USD]])</f>
        <v>2467.7400000000002</v>
      </c>
      <c r="Z96" s="5">
        <v>2576.0300000000002</v>
      </c>
      <c r="AA96" s="6">
        <f>TravelExpenseTable[[#This Row],[Budget_USD]]-TravelExpenseTable[[#This Row],[Total_Actual_USD]]</f>
        <v>108.28999999999996</v>
      </c>
      <c r="AB96" s="13">
        <f>TravelExpenseTable[[#This Row],[Budget_Variance_USD]]/TravelExpenseTable[[#This Row],[Budget_USD]]</f>
        <v>4.2037553910474625E-2</v>
      </c>
      <c r="AC96" s="6" t="str">
        <f t="shared" si="10"/>
        <v>Within Budget</v>
      </c>
      <c r="AD96" s="41" t="s">
        <v>50</v>
      </c>
      <c r="AE96" s="41" t="s">
        <v>50</v>
      </c>
      <c r="AF96" s="41" t="s">
        <v>52</v>
      </c>
      <c r="AG96" s="41" t="s">
        <v>53</v>
      </c>
      <c r="AH96" s="41"/>
    </row>
    <row r="97" spans="1:34">
      <c r="A97" s="41" t="s">
        <v>240</v>
      </c>
      <c r="B97" s="41" t="s">
        <v>154</v>
      </c>
      <c r="C97" s="41" t="s">
        <v>41</v>
      </c>
      <c r="D97" s="41" t="s">
        <v>42</v>
      </c>
      <c r="E97" s="41" t="s">
        <v>43</v>
      </c>
      <c r="F97" s="41" t="s">
        <v>120</v>
      </c>
      <c r="G97" s="41" t="s">
        <v>59</v>
      </c>
      <c r="H97" s="41" t="s">
        <v>46</v>
      </c>
      <c r="I97" s="41" t="s">
        <v>60</v>
      </c>
      <c r="J97" s="4">
        <v>46081</v>
      </c>
      <c r="K97" s="4">
        <v>46103</v>
      </c>
      <c r="L97" s="4">
        <v>46107</v>
      </c>
      <c r="M97" s="17">
        <f t="shared" si="7"/>
        <v>46082</v>
      </c>
      <c r="N97" s="17" t="str">
        <f t="shared" si="8"/>
        <v>Mar</v>
      </c>
      <c r="O97" s="10">
        <f t="shared" si="9"/>
        <v>3</v>
      </c>
      <c r="P97" s="10">
        <f>TravelExpenseTable[[#This Row],[Departure_Date]]-TravelExpenseTable[[#This Row],[Booking_Date]]</f>
        <v>22</v>
      </c>
      <c r="Q97" s="10">
        <f>TravelExpenseTable[[#This Row],[Return_Date]]-TravelExpenseTable[[#This Row],[Departure_Date]]</f>
        <v>4</v>
      </c>
      <c r="R97" s="41" t="s">
        <v>188</v>
      </c>
      <c r="S97" s="41" t="s">
        <v>91</v>
      </c>
      <c r="T97" s="5">
        <v>1237.9000000000001</v>
      </c>
      <c r="U97" s="5">
        <v>1124.6500000000001</v>
      </c>
      <c r="V97" s="5">
        <v>210.12</v>
      </c>
      <c r="W97" s="5">
        <v>444.28</v>
      </c>
      <c r="X97" s="5">
        <v>129.9</v>
      </c>
      <c r="Y97" s="6">
        <f>SUM(TravelExpenseTable[[#This Row],[Airfare_USD]],,,TravelExpenseTable[[#This Row],[Hotel_USD]],TravelExpenseTable[[#This Row],[Ground_Transport_USD]],TravelExpenseTable[[#This Row],[Meals_USD]],TravelExpenseTable[[#This Row],[Other_Expenses_USD]])</f>
        <v>3146.85</v>
      </c>
      <c r="Z97" s="5">
        <v>3040.92</v>
      </c>
      <c r="AA97" s="6">
        <f>TravelExpenseTable[[#This Row],[Budget_USD]]-TravelExpenseTable[[#This Row],[Total_Actual_USD]]</f>
        <v>-105.92999999999984</v>
      </c>
      <c r="AB97" s="13">
        <f>TravelExpenseTable[[#This Row],[Budget_Variance_USD]]/TravelExpenseTable[[#This Row],[Budget_USD]]</f>
        <v>-3.4834852610394165E-2</v>
      </c>
      <c r="AC97" s="6" t="str">
        <f t="shared" si="10"/>
        <v>Over Budget</v>
      </c>
      <c r="AD97" s="41" t="s">
        <v>51</v>
      </c>
      <c r="AE97" s="41" t="s">
        <v>51</v>
      </c>
      <c r="AF97" s="41" t="s">
        <v>52</v>
      </c>
      <c r="AG97" s="41" t="s">
        <v>53</v>
      </c>
      <c r="AH97" s="41"/>
    </row>
    <row r="98" spans="1:34">
      <c r="A98" s="55" t="s">
        <v>241</v>
      </c>
      <c r="B98" s="55" t="s">
        <v>147</v>
      </c>
      <c r="C98" s="55" t="s">
        <v>41</v>
      </c>
      <c r="D98" s="55" t="s">
        <v>137</v>
      </c>
      <c r="E98" s="55" t="s">
        <v>43</v>
      </c>
      <c r="F98" s="55" t="s">
        <v>200</v>
      </c>
      <c r="G98" s="55" t="s">
        <v>45</v>
      </c>
      <c r="H98" s="55" t="s">
        <v>46</v>
      </c>
      <c r="I98" s="55" t="s">
        <v>76</v>
      </c>
      <c r="J98" s="56">
        <v>46059</v>
      </c>
      <c r="K98" s="56">
        <v>46064</v>
      </c>
      <c r="L98" s="56">
        <v>46067</v>
      </c>
      <c r="M98" s="57">
        <f t="shared" si="7"/>
        <v>46054</v>
      </c>
      <c r="N98" s="57" t="str">
        <f t="shared" ref="N98:N129" si="11">TEXT(K98,"mmm")</f>
        <v>Feb</v>
      </c>
      <c r="O98" s="58">
        <f t="shared" ref="O98:O129" si="12">MONTH(K98)</f>
        <v>2</v>
      </c>
      <c r="P98" s="58">
        <f>TravelExpenseTable[[#This Row],[Departure_Date]]-TravelExpenseTable[[#This Row],[Booking_Date]]</f>
        <v>5</v>
      </c>
      <c r="Q98" s="58">
        <f>TravelExpenseTable[[#This Row],[Return_Date]]-TravelExpenseTable[[#This Row],[Departure_Date]]</f>
        <v>3</v>
      </c>
      <c r="R98" s="55" t="s">
        <v>102</v>
      </c>
      <c r="S98" s="55" t="s">
        <v>71</v>
      </c>
      <c r="T98" s="59">
        <v>809.78</v>
      </c>
      <c r="U98" s="59">
        <v>522.71</v>
      </c>
      <c r="V98" s="59">
        <v>189.89</v>
      </c>
      <c r="W98" s="59">
        <v>213.8</v>
      </c>
      <c r="X98" s="59">
        <v>101.16</v>
      </c>
      <c r="Y98" s="60">
        <f>SUM(TravelExpenseTable[[#This Row],[Airfare_USD]],,,TravelExpenseTable[[#This Row],[Hotel_USD]],TravelExpenseTable[[#This Row],[Ground_Transport_USD]],TravelExpenseTable[[#This Row],[Meals_USD]],TravelExpenseTable[[#This Row],[Other_Expenses_USD]])</f>
        <v>1837.3400000000001</v>
      </c>
      <c r="Z98" s="59">
        <v>1766.58</v>
      </c>
      <c r="AA98" s="60">
        <f>TravelExpenseTable[[#This Row],[Budget_USD]]-TravelExpenseTable[[#This Row],[Total_Actual_USD]]</f>
        <v>-70.760000000000218</v>
      </c>
      <c r="AB98" s="61">
        <f>TravelExpenseTable[[#This Row],[Budget_Variance_USD]]/TravelExpenseTable[[#This Row],[Budget_USD]]</f>
        <v>-4.0054795140893829E-2</v>
      </c>
      <c r="AC98" s="60" t="str">
        <f t="shared" ref="AC98:AC129" si="13">IF(AA98&gt;=0,"Within Budget","Over Budget")</f>
        <v>Over Budget</v>
      </c>
      <c r="AD98" s="55" t="s">
        <v>50</v>
      </c>
      <c r="AE98" s="55" t="s">
        <v>50</v>
      </c>
      <c r="AF98" s="55" t="s">
        <v>52</v>
      </c>
      <c r="AG98" s="55" t="s">
        <v>52</v>
      </c>
      <c r="AH98" s="55" t="s">
        <v>150</v>
      </c>
    </row>
    <row r="99" spans="1:34">
      <c r="A99" s="55" t="s">
        <v>242</v>
      </c>
      <c r="B99" s="55" t="s">
        <v>110</v>
      </c>
      <c r="C99" s="55" t="s">
        <v>41</v>
      </c>
      <c r="D99" s="55" t="s">
        <v>111</v>
      </c>
      <c r="E99" s="55" t="s">
        <v>43</v>
      </c>
      <c r="F99" s="55" t="s">
        <v>104</v>
      </c>
      <c r="G99" s="55" t="s">
        <v>45</v>
      </c>
      <c r="H99" s="55" t="s">
        <v>112</v>
      </c>
      <c r="I99" s="55" t="s">
        <v>60</v>
      </c>
      <c r="J99" s="56">
        <v>46184</v>
      </c>
      <c r="K99" s="56">
        <v>46190</v>
      </c>
      <c r="L99" s="56">
        <v>46192</v>
      </c>
      <c r="M99" s="57">
        <f t="shared" si="7"/>
        <v>46174</v>
      </c>
      <c r="N99" s="57" t="str">
        <f t="shared" si="11"/>
        <v>Jun</v>
      </c>
      <c r="O99" s="58">
        <f t="shared" si="12"/>
        <v>6</v>
      </c>
      <c r="P99" s="58">
        <f>TravelExpenseTable[[#This Row],[Departure_Date]]-TravelExpenseTable[[#This Row],[Booking_Date]]</f>
        <v>6</v>
      </c>
      <c r="Q99" s="58">
        <f>TravelExpenseTable[[#This Row],[Return_Date]]-TravelExpenseTable[[#This Row],[Departure_Date]]</f>
        <v>2</v>
      </c>
      <c r="R99" s="55" t="s">
        <v>98</v>
      </c>
      <c r="S99" s="55" t="s">
        <v>71</v>
      </c>
      <c r="T99" s="59">
        <v>372.28</v>
      </c>
      <c r="U99" s="59">
        <v>442.07</v>
      </c>
      <c r="V99" s="59">
        <v>141.31</v>
      </c>
      <c r="W99" s="59">
        <v>221.49</v>
      </c>
      <c r="X99" s="59">
        <v>73.239999999999995</v>
      </c>
      <c r="Y99" s="60">
        <f>SUM(TravelExpenseTable[[#This Row],[Airfare_USD]],,,TravelExpenseTable[[#This Row],[Hotel_USD]],TravelExpenseTable[[#This Row],[Ground_Transport_USD]],TravelExpenseTable[[#This Row],[Meals_USD]],TravelExpenseTable[[#This Row],[Other_Expenses_USD]])</f>
        <v>1250.3899999999999</v>
      </c>
      <c r="Z99" s="59">
        <v>1451.09</v>
      </c>
      <c r="AA99" s="60">
        <f>TravelExpenseTable[[#This Row],[Budget_USD]]-TravelExpenseTable[[#This Row],[Total_Actual_USD]]</f>
        <v>200.70000000000005</v>
      </c>
      <c r="AB99" s="61">
        <f>TravelExpenseTable[[#This Row],[Budget_Variance_USD]]/TravelExpenseTable[[#This Row],[Budget_USD]]</f>
        <v>0.13830982227153385</v>
      </c>
      <c r="AC99" s="60" t="str">
        <f t="shared" si="13"/>
        <v>Within Budget</v>
      </c>
      <c r="AD99" s="55" t="s">
        <v>50</v>
      </c>
      <c r="AE99" s="55" t="s">
        <v>83</v>
      </c>
      <c r="AF99" s="55" t="s">
        <v>52</v>
      </c>
      <c r="AG99" s="55" t="s">
        <v>52</v>
      </c>
      <c r="AH99" s="55" t="s">
        <v>150</v>
      </c>
    </row>
    <row r="100" spans="1:34">
      <c r="A100" s="41" t="s">
        <v>243</v>
      </c>
      <c r="B100" s="41" t="s">
        <v>143</v>
      </c>
      <c r="C100" s="41" t="s">
        <v>66</v>
      </c>
      <c r="D100" s="41" t="s">
        <v>86</v>
      </c>
      <c r="E100" s="41" t="s">
        <v>43</v>
      </c>
      <c r="F100" s="41" t="s">
        <v>157</v>
      </c>
      <c r="G100" s="41" t="s">
        <v>45</v>
      </c>
      <c r="H100" s="41" t="s">
        <v>69</v>
      </c>
      <c r="I100" s="41" t="s">
        <v>76</v>
      </c>
      <c r="J100" s="4">
        <v>46184</v>
      </c>
      <c r="K100" s="4">
        <v>46192</v>
      </c>
      <c r="L100" s="4">
        <v>46193</v>
      </c>
      <c r="M100" s="17">
        <f t="shared" si="7"/>
        <v>46174</v>
      </c>
      <c r="N100" s="17" t="str">
        <f t="shared" si="11"/>
        <v>Jun</v>
      </c>
      <c r="O100" s="10">
        <f t="shared" si="12"/>
        <v>6</v>
      </c>
      <c r="P100" s="10">
        <f>TravelExpenseTable[[#This Row],[Departure_Date]]-TravelExpenseTable[[#This Row],[Booking_Date]]</f>
        <v>8</v>
      </c>
      <c r="Q100" s="10">
        <f>TravelExpenseTable[[#This Row],[Return_Date]]-TravelExpenseTable[[#This Row],[Departure_Date]]</f>
        <v>1</v>
      </c>
      <c r="R100" s="41" t="s">
        <v>48</v>
      </c>
      <c r="S100" s="41" t="s">
        <v>62</v>
      </c>
      <c r="T100" s="5">
        <v>544.48</v>
      </c>
      <c r="U100" s="5">
        <v>168.13</v>
      </c>
      <c r="V100" s="5">
        <v>205.94</v>
      </c>
      <c r="W100" s="5">
        <v>114.83</v>
      </c>
      <c r="X100" s="5">
        <v>71.459999999999994</v>
      </c>
      <c r="Y100" s="6">
        <f>SUM(TravelExpenseTable[[#This Row],[Airfare_USD]],,,TravelExpenseTable[[#This Row],[Hotel_USD]],TravelExpenseTable[[#This Row],[Ground_Transport_USD]],TravelExpenseTable[[#This Row],[Meals_USD]],TravelExpenseTable[[#This Row],[Other_Expenses_USD]])</f>
        <v>1104.8399999999999</v>
      </c>
      <c r="Z100" s="5">
        <v>1136.46</v>
      </c>
      <c r="AA100" s="6">
        <f>TravelExpenseTable[[#This Row],[Budget_USD]]-TravelExpenseTable[[#This Row],[Total_Actual_USD]]</f>
        <v>31.620000000000118</v>
      </c>
      <c r="AB100" s="13">
        <f>TravelExpenseTable[[#This Row],[Budget_Variance_USD]]/TravelExpenseTable[[#This Row],[Budget_USD]]</f>
        <v>2.7823240589198141E-2</v>
      </c>
      <c r="AC100" s="6" t="str">
        <f t="shared" si="13"/>
        <v>Within Budget</v>
      </c>
      <c r="AD100" s="41" t="s">
        <v>50</v>
      </c>
      <c r="AE100" s="41" t="s">
        <v>92</v>
      </c>
      <c r="AF100" s="41" t="s">
        <v>52</v>
      </c>
      <c r="AG100" s="41" t="s">
        <v>53</v>
      </c>
      <c r="AH100" s="41"/>
    </row>
    <row r="101" spans="1:34">
      <c r="A101" s="41" t="s">
        <v>244</v>
      </c>
      <c r="B101" s="41" t="s">
        <v>73</v>
      </c>
      <c r="C101" s="41" t="s">
        <v>66</v>
      </c>
      <c r="D101" s="41" t="s">
        <v>67</v>
      </c>
      <c r="E101" s="41" t="s">
        <v>43</v>
      </c>
      <c r="F101" s="41" t="s">
        <v>68</v>
      </c>
      <c r="G101" s="41" t="s">
        <v>45</v>
      </c>
      <c r="H101" s="41" t="s">
        <v>108</v>
      </c>
      <c r="I101" s="41" t="s">
        <v>81</v>
      </c>
      <c r="J101" s="4">
        <v>46080</v>
      </c>
      <c r="K101" s="4">
        <v>46112</v>
      </c>
      <c r="L101" s="4">
        <v>46115</v>
      </c>
      <c r="M101" s="17">
        <f t="shared" si="7"/>
        <v>46082</v>
      </c>
      <c r="N101" s="17" t="str">
        <f t="shared" si="11"/>
        <v>Mar</v>
      </c>
      <c r="O101" s="10">
        <f t="shared" si="12"/>
        <v>3</v>
      </c>
      <c r="P101" s="10">
        <f>TravelExpenseTable[[#This Row],[Departure_Date]]-TravelExpenseTable[[#This Row],[Booking_Date]]</f>
        <v>32</v>
      </c>
      <c r="Q101" s="10">
        <f>TravelExpenseTable[[#This Row],[Return_Date]]-TravelExpenseTable[[#This Row],[Departure_Date]]</f>
        <v>3</v>
      </c>
      <c r="R101" s="41" t="s">
        <v>70</v>
      </c>
      <c r="S101" s="41" t="s">
        <v>77</v>
      </c>
      <c r="T101" s="5">
        <v>769.89</v>
      </c>
      <c r="U101" s="5">
        <v>731.18</v>
      </c>
      <c r="V101" s="5">
        <v>170.75</v>
      </c>
      <c r="W101" s="5">
        <v>167.54</v>
      </c>
      <c r="X101" s="5">
        <v>60.68</v>
      </c>
      <c r="Y101" s="6">
        <f>SUM(TravelExpenseTable[[#This Row],[Airfare_USD]],,,TravelExpenseTable[[#This Row],[Hotel_USD]],TravelExpenseTable[[#This Row],[Ground_Transport_USD]],TravelExpenseTable[[#This Row],[Meals_USD]],TravelExpenseTable[[#This Row],[Other_Expenses_USD]])</f>
        <v>1900.04</v>
      </c>
      <c r="Z101" s="5">
        <v>1840.2</v>
      </c>
      <c r="AA101" s="6">
        <f>TravelExpenseTable[[#This Row],[Budget_USD]]-TravelExpenseTable[[#This Row],[Total_Actual_USD]]</f>
        <v>-59.839999999999918</v>
      </c>
      <c r="AB101" s="13">
        <f>TravelExpenseTable[[#This Row],[Budget_Variance_USD]]/TravelExpenseTable[[#This Row],[Budget_USD]]</f>
        <v>-3.2518204542984416E-2</v>
      </c>
      <c r="AC101" s="6" t="str">
        <f t="shared" si="13"/>
        <v>Over Budget</v>
      </c>
      <c r="AD101" s="41" t="s">
        <v>50</v>
      </c>
      <c r="AE101" s="41" t="s">
        <v>50</v>
      </c>
      <c r="AF101" s="41" t="s">
        <v>52</v>
      </c>
      <c r="AG101" s="41" t="s">
        <v>53</v>
      </c>
      <c r="AH101" s="41"/>
    </row>
    <row r="102" spans="1:34">
      <c r="A102" s="41" t="s">
        <v>245</v>
      </c>
      <c r="B102" s="41" t="s">
        <v>147</v>
      </c>
      <c r="C102" s="41" t="s">
        <v>41</v>
      </c>
      <c r="D102" s="41" t="s">
        <v>137</v>
      </c>
      <c r="E102" s="41" t="s">
        <v>43</v>
      </c>
      <c r="F102" s="41" t="s">
        <v>172</v>
      </c>
      <c r="G102" s="41" t="s">
        <v>59</v>
      </c>
      <c r="H102" s="41" t="s">
        <v>97</v>
      </c>
      <c r="I102" s="41" t="s">
        <v>81</v>
      </c>
      <c r="J102" s="4">
        <v>46150</v>
      </c>
      <c r="K102" s="4">
        <v>46158</v>
      </c>
      <c r="L102" s="4">
        <v>46163</v>
      </c>
      <c r="M102" s="17">
        <f t="shared" si="7"/>
        <v>46143</v>
      </c>
      <c r="N102" s="17" t="str">
        <f t="shared" si="11"/>
        <v>May</v>
      </c>
      <c r="O102" s="10">
        <f t="shared" si="12"/>
        <v>5</v>
      </c>
      <c r="P102" s="10">
        <f>TravelExpenseTable[[#This Row],[Departure_Date]]-TravelExpenseTable[[#This Row],[Booking_Date]]</f>
        <v>8</v>
      </c>
      <c r="Q102" s="10">
        <f>TravelExpenseTable[[#This Row],[Return_Date]]-TravelExpenseTable[[#This Row],[Departure_Date]]</f>
        <v>5</v>
      </c>
      <c r="R102" s="41" t="s">
        <v>188</v>
      </c>
      <c r="S102" s="41" t="s">
        <v>82</v>
      </c>
      <c r="T102" s="5">
        <v>854.67</v>
      </c>
      <c r="U102" s="5">
        <v>1257.42</v>
      </c>
      <c r="V102" s="5">
        <v>132.01</v>
      </c>
      <c r="W102" s="5">
        <v>353.24</v>
      </c>
      <c r="X102" s="5">
        <v>42.39</v>
      </c>
      <c r="Y102" s="6">
        <f>SUM(TravelExpenseTable[[#This Row],[Airfare_USD]],,,TravelExpenseTable[[#This Row],[Hotel_USD]],TravelExpenseTable[[#This Row],[Ground_Transport_USD]],TravelExpenseTable[[#This Row],[Meals_USD]],TravelExpenseTable[[#This Row],[Other_Expenses_USD]])</f>
        <v>2639.73</v>
      </c>
      <c r="Z102" s="5">
        <v>2919.88</v>
      </c>
      <c r="AA102" s="6">
        <f>TravelExpenseTable[[#This Row],[Budget_USD]]-TravelExpenseTable[[#This Row],[Total_Actual_USD]]</f>
        <v>280.15000000000009</v>
      </c>
      <c r="AB102" s="13">
        <f>TravelExpenseTable[[#This Row],[Budget_Variance_USD]]/TravelExpenseTable[[#This Row],[Budget_USD]]</f>
        <v>9.5945723796868387E-2</v>
      </c>
      <c r="AC102" s="6" t="str">
        <f t="shared" si="13"/>
        <v>Within Budget</v>
      </c>
      <c r="AD102" s="41" t="s">
        <v>50</v>
      </c>
      <c r="AE102" s="41" t="s">
        <v>83</v>
      </c>
      <c r="AF102" s="41" t="s">
        <v>52</v>
      </c>
      <c r="AG102" s="41" t="s">
        <v>53</v>
      </c>
      <c r="AH102" s="41"/>
    </row>
    <row r="103" spans="1:34">
      <c r="A103" s="41" t="s">
        <v>246</v>
      </c>
      <c r="B103" s="41" t="s">
        <v>73</v>
      </c>
      <c r="C103" s="41" t="s">
        <v>66</v>
      </c>
      <c r="D103" s="41" t="s">
        <v>67</v>
      </c>
      <c r="E103" s="41" t="s">
        <v>43</v>
      </c>
      <c r="F103" s="41" t="s">
        <v>96</v>
      </c>
      <c r="G103" s="41" t="s">
        <v>45</v>
      </c>
      <c r="H103" s="41" t="s">
        <v>116</v>
      </c>
      <c r="I103" s="41" t="s">
        <v>81</v>
      </c>
      <c r="J103" s="4">
        <v>46075</v>
      </c>
      <c r="K103" s="4">
        <v>46093</v>
      </c>
      <c r="L103" s="4">
        <v>46096</v>
      </c>
      <c r="M103" s="17">
        <f t="shared" si="7"/>
        <v>46082</v>
      </c>
      <c r="N103" s="17" t="str">
        <f t="shared" si="11"/>
        <v>Mar</v>
      </c>
      <c r="O103" s="10">
        <f t="shared" si="12"/>
        <v>3</v>
      </c>
      <c r="P103" s="10">
        <f>TravelExpenseTable[[#This Row],[Departure_Date]]-TravelExpenseTable[[#This Row],[Booking_Date]]</f>
        <v>18</v>
      </c>
      <c r="Q103" s="10">
        <f>TravelExpenseTable[[#This Row],[Return_Date]]-TravelExpenseTable[[#This Row],[Departure_Date]]</f>
        <v>3</v>
      </c>
      <c r="R103" s="41" t="s">
        <v>102</v>
      </c>
      <c r="S103" s="41" t="s">
        <v>77</v>
      </c>
      <c r="T103" s="5">
        <v>441.09</v>
      </c>
      <c r="U103" s="5">
        <v>961.51</v>
      </c>
      <c r="V103" s="5">
        <v>201.65</v>
      </c>
      <c r="W103" s="5">
        <v>291.64</v>
      </c>
      <c r="X103" s="5">
        <v>55.98</v>
      </c>
      <c r="Y103" s="6">
        <f>SUM(TravelExpenseTable[[#This Row],[Airfare_USD]],,,TravelExpenseTable[[#This Row],[Hotel_USD]],TravelExpenseTable[[#This Row],[Ground_Transport_USD]],TravelExpenseTable[[#This Row],[Meals_USD]],TravelExpenseTable[[#This Row],[Other_Expenses_USD]])</f>
        <v>1951.87</v>
      </c>
      <c r="Z103" s="5">
        <v>1786.4</v>
      </c>
      <c r="AA103" s="6">
        <f>TravelExpenseTable[[#This Row],[Budget_USD]]-TravelExpenseTable[[#This Row],[Total_Actual_USD]]</f>
        <v>-165.4699999999998</v>
      </c>
      <c r="AB103" s="13">
        <f>TravelExpenseTable[[#This Row],[Budget_Variance_USD]]/TravelExpenseTable[[#This Row],[Budget_USD]]</f>
        <v>-9.2627630989699838E-2</v>
      </c>
      <c r="AC103" s="6" t="str">
        <f t="shared" si="13"/>
        <v>Over Budget</v>
      </c>
      <c r="AD103" s="41" t="s">
        <v>50</v>
      </c>
      <c r="AE103" s="41" t="s">
        <v>83</v>
      </c>
      <c r="AF103" s="41" t="s">
        <v>52</v>
      </c>
      <c r="AG103" s="41" t="s">
        <v>53</v>
      </c>
      <c r="AH103" s="41"/>
    </row>
    <row r="104" spans="1:34">
      <c r="A104" s="55" t="s">
        <v>247</v>
      </c>
      <c r="B104" s="55" t="s">
        <v>128</v>
      </c>
      <c r="C104" s="55" t="s">
        <v>95</v>
      </c>
      <c r="D104" s="55" t="s">
        <v>67</v>
      </c>
      <c r="E104" s="55" t="s">
        <v>43</v>
      </c>
      <c r="F104" s="55" t="s">
        <v>44</v>
      </c>
      <c r="G104" s="55" t="s">
        <v>45</v>
      </c>
      <c r="H104" s="55" t="s">
        <v>126</v>
      </c>
      <c r="I104" s="55" t="s">
        <v>47</v>
      </c>
      <c r="J104" s="56">
        <v>46117</v>
      </c>
      <c r="K104" s="56">
        <v>46149</v>
      </c>
      <c r="L104" s="56">
        <v>46151</v>
      </c>
      <c r="M104" s="57">
        <f t="shared" si="7"/>
        <v>46143</v>
      </c>
      <c r="N104" s="57" t="str">
        <f t="shared" si="11"/>
        <v>May</v>
      </c>
      <c r="O104" s="58">
        <f t="shared" si="12"/>
        <v>5</v>
      </c>
      <c r="P104" s="58">
        <f>TravelExpenseTable[[#This Row],[Departure_Date]]-TravelExpenseTable[[#This Row],[Booking_Date]]</f>
        <v>32</v>
      </c>
      <c r="Q104" s="58">
        <f>TravelExpenseTable[[#This Row],[Return_Date]]-TravelExpenseTable[[#This Row],[Departure_Date]]</f>
        <v>2</v>
      </c>
      <c r="R104" s="55" t="s">
        <v>98</v>
      </c>
      <c r="S104" s="55" t="s">
        <v>77</v>
      </c>
      <c r="T104" s="59">
        <v>828.44</v>
      </c>
      <c r="U104" s="59">
        <v>712.14</v>
      </c>
      <c r="V104" s="59">
        <v>149.27000000000001</v>
      </c>
      <c r="W104" s="59">
        <v>204.48</v>
      </c>
      <c r="X104" s="59">
        <v>94.59</v>
      </c>
      <c r="Y104" s="60">
        <f>SUM(TravelExpenseTable[[#This Row],[Airfare_USD]],,,TravelExpenseTable[[#This Row],[Hotel_USD]],TravelExpenseTable[[#This Row],[Ground_Transport_USD]],TravelExpenseTable[[#This Row],[Meals_USD]],TravelExpenseTable[[#This Row],[Other_Expenses_USD]])</f>
        <v>1988.9199999999998</v>
      </c>
      <c r="Z104" s="59">
        <v>2065.4</v>
      </c>
      <c r="AA104" s="60">
        <f>TravelExpenseTable[[#This Row],[Budget_USD]]-TravelExpenseTable[[#This Row],[Total_Actual_USD]]</f>
        <v>76.480000000000246</v>
      </c>
      <c r="AB104" s="61">
        <f>TravelExpenseTable[[#This Row],[Budget_Variance_USD]]/TravelExpenseTable[[#This Row],[Budget_USD]]</f>
        <v>3.7029146896485059E-2</v>
      </c>
      <c r="AC104" s="60" t="str">
        <f t="shared" si="13"/>
        <v>Within Budget</v>
      </c>
      <c r="AD104" s="55" t="s">
        <v>50</v>
      </c>
      <c r="AE104" s="55" t="s">
        <v>92</v>
      </c>
      <c r="AF104" s="55" t="s">
        <v>53</v>
      </c>
      <c r="AG104" s="55" t="s">
        <v>52</v>
      </c>
      <c r="AH104" s="55" t="s">
        <v>63</v>
      </c>
    </row>
    <row r="105" spans="1:34">
      <c r="A105" s="41" t="s">
        <v>248</v>
      </c>
      <c r="B105" s="41" t="s">
        <v>73</v>
      </c>
      <c r="C105" s="41" t="s">
        <v>66</v>
      </c>
      <c r="D105" s="41" t="s">
        <v>67</v>
      </c>
      <c r="E105" s="41" t="s">
        <v>43</v>
      </c>
      <c r="F105" s="41" t="s">
        <v>120</v>
      </c>
      <c r="G105" s="41" t="s">
        <v>59</v>
      </c>
      <c r="H105" s="41" t="s">
        <v>108</v>
      </c>
      <c r="I105" s="41" t="s">
        <v>60</v>
      </c>
      <c r="J105" s="4">
        <v>46042</v>
      </c>
      <c r="K105" s="4">
        <v>46065</v>
      </c>
      <c r="L105" s="4">
        <v>46069</v>
      </c>
      <c r="M105" s="17">
        <f t="shared" si="7"/>
        <v>46054</v>
      </c>
      <c r="N105" s="17" t="str">
        <f t="shared" si="11"/>
        <v>Feb</v>
      </c>
      <c r="O105" s="10">
        <f t="shared" si="12"/>
        <v>2</v>
      </c>
      <c r="P105" s="10">
        <f>TravelExpenseTable[[#This Row],[Departure_Date]]-TravelExpenseTable[[#This Row],[Booking_Date]]</f>
        <v>23</v>
      </c>
      <c r="Q105" s="10">
        <f>TravelExpenseTable[[#This Row],[Return_Date]]-TravelExpenseTable[[#This Row],[Departure_Date]]</f>
        <v>4</v>
      </c>
      <c r="R105" s="41" t="s">
        <v>102</v>
      </c>
      <c r="S105" s="41" t="s">
        <v>91</v>
      </c>
      <c r="T105" s="5">
        <v>1237.71</v>
      </c>
      <c r="U105" s="5">
        <v>1443.16</v>
      </c>
      <c r="V105" s="5">
        <v>181.37</v>
      </c>
      <c r="W105" s="5">
        <v>233.35</v>
      </c>
      <c r="X105" s="5">
        <v>23.75</v>
      </c>
      <c r="Y105" s="6">
        <f>SUM(TravelExpenseTable[[#This Row],[Airfare_USD]],,,TravelExpenseTable[[#This Row],[Hotel_USD]],TravelExpenseTable[[#This Row],[Ground_Transport_USD]],TravelExpenseTable[[#This Row],[Meals_USD]],TravelExpenseTable[[#This Row],[Other_Expenses_USD]])</f>
        <v>3119.3399999999997</v>
      </c>
      <c r="Z105" s="5">
        <v>3133.77</v>
      </c>
      <c r="AA105" s="6">
        <f>TravelExpenseTable[[#This Row],[Budget_USD]]-TravelExpenseTable[[#This Row],[Total_Actual_USD]]</f>
        <v>14.430000000000291</v>
      </c>
      <c r="AB105" s="13">
        <f>TravelExpenseTable[[#This Row],[Budget_Variance_USD]]/TravelExpenseTable[[#This Row],[Budget_USD]]</f>
        <v>4.6046774332514162E-3</v>
      </c>
      <c r="AC105" s="6" t="str">
        <f t="shared" si="13"/>
        <v>Within Budget</v>
      </c>
      <c r="AD105" s="41" t="s">
        <v>51</v>
      </c>
      <c r="AE105" s="41" t="s">
        <v>92</v>
      </c>
      <c r="AF105" s="41" t="s">
        <v>52</v>
      </c>
      <c r="AG105" s="41" t="s">
        <v>53</v>
      </c>
      <c r="AH105" s="41"/>
    </row>
    <row r="106" spans="1:34">
      <c r="A106" s="55" t="s">
        <v>249</v>
      </c>
      <c r="B106" s="55" t="s">
        <v>106</v>
      </c>
      <c r="C106" s="55" t="s">
        <v>41</v>
      </c>
      <c r="D106" s="55" t="s">
        <v>107</v>
      </c>
      <c r="E106" s="55" t="s">
        <v>43</v>
      </c>
      <c r="F106" s="55" t="s">
        <v>96</v>
      </c>
      <c r="G106" s="55" t="s">
        <v>45</v>
      </c>
      <c r="H106" s="55" t="s">
        <v>69</v>
      </c>
      <c r="I106" s="55" t="s">
        <v>81</v>
      </c>
      <c r="J106" s="56">
        <v>46125</v>
      </c>
      <c r="K106" s="56">
        <v>46128</v>
      </c>
      <c r="L106" s="56">
        <v>46131</v>
      </c>
      <c r="M106" s="57">
        <f t="shared" si="7"/>
        <v>46113</v>
      </c>
      <c r="N106" s="57" t="str">
        <f t="shared" si="11"/>
        <v>Apr</v>
      </c>
      <c r="O106" s="58">
        <f t="shared" si="12"/>
        <v>4</v>
      </c>
      <c r="P106" s="58">
        <f>TravelExpenseTable[[#This Row],[Departure_Date]]-TravelExpenseTable[[#This Row],[Booking_Date]]</f>
        <v>3</v>
      </c>
      <c r="Q106" s="58">
        <f>TravelExpenseTable[[#This Row],[Return_Date]]-TravelExpenseTable[[#This Row],[Departure_Date]]</f>
        <v>3</v>
      </c>
      <c r="R106" s="55" t="s">
        <v>48</v>
      </c>
      <c r="S106" s="55" t="s">
        <v>82</v>
      </c>
      <c r="T106" s="59">
        <v>494.14</v>
      </c>
      <c r="U106" s="59">
        <v>1256.47</v>
      </c>
      <c r="V106" s="59">
        <v>208.55</v>
      </c>
      <c r="W106" s="59">
        <v>177.42</v>
      </c>
      <c r="X106" s="59">
        <v>168.08</v>
      </c>
      <c r="Y106" s="60">
        <f>SUM(TravelExpenseTable[[#This Row],[Airfare_USD]],,,TravelExpenseTable[[#This Row],[Hotel_USD]],TravelExpenseTable[[#This Row],[Ground_Transport_USD]],TravelExpenseTable[[#This Row],[Meals_USD]],TravelExpenseTable[[#This Row],[Other_Expenses_USD]])</f>
        <v>2304.66</v>
      </c>
      <c r="Z106" s="59">
        <v>2050.04</v>
      </c>
      <c r="AA106" s="60">
        <f>TravelExpenseTable[[#This Row],[Budget_USD]]-TravelExpenseTable[[#This Row],[Total_Actual_USD]]</f>
        <v>-254.61999999999989</v>
      </c>
      <c r="AB106" s="61">
        <f>TravelExpenseTable[[#This Row],[Budget_Variance_USD]]/TravelExpenseTable[[#This Row],[Budget_USD]]</f>
        <v>-0.12420245458625193</v>
      </c>
      <c r="AC106" s="60" t="str">
        <f t="shared" si="13"/>
        <v>Over Budget</v>
      </c>
      <c r="AD106" s="55" t="s">
        <v>50</v>
      </c>
      <c r="AE106" s="55" t="s">
        <v>50</v>
      </c>
      <c r="AF106" s="55" t="s">
        <v>52</v>
      </c>
      <c r="AG106" s="55" t="s">
        <v>52</v>
      </c>
      <c r="AH106" s="55" t="s">
        <v>117</v>
      </c>
    </row>
    <row r="107" spans="1:34">
      <c r="A107" s="55" t="s">
        <v>250</v>
      </c>
      <c r="B107" s="55" t="s">
        <v>79</v>
      </c>
      <c r="C107" s="55" t="s">
        <v>41</v>
      </c>
      <c r="D107" s="55" t="s">
        <v>42</v>
      </c>
      <c r="E107" s="55" t="s">
        <v>43</v>
      </c>
      <c r="F107" s="55" t="s">
        <v>58</v>
      </c>
      <c r="G107" s="55" t="s">
        <v>59</v>
      </c>
      <c r="H107" s="55" t="s">
        <v>112</v>
      </c>
      <c r="I107" s="55" t="s">
        <v>60</v>
      </c>
      <c r="J107" s="56">
        <v>46114</v>
      </c>
      <c r="K107" s="56">
        <v>46141</v>
      </c>
      <c r="L107" s="56">
        <v>46147</v>
      </c>
      <c r="M107" s="57">
        <f t="shared" si="7"/>
        <v>46113</v>
      </c>
      <c r="N107" s="57" t="str">
        <f t="shared" si="11"/>
        <v>Apr</v>
      </c>
      <c r="O107" s="58">
        <f t="shared" si="12"/>
        <v>4</v>
      </c>
      <c r="P107" s="58">
        <f>TravelExpenseTable[[#This Row],[Departure_Date]]-TravelExpenseTable[[#This Row],[Booking_Date]]</f>
        <v>27</v>
      </c>
      <c r="Q107" s="58">
        <f>TravelExpenseTable[[#This Row],[Return_Date]]-TravelExpenseTable[[#This Row],[Departure_Date]]</f>
        <v>6</v>
      </c>
      <c r="R107" s="55" t="s">
        <v>188</v>
      </c>
      <c r="S107" s="55" t="s">
        <v>138</v>
      </c>
      <c r="T107" s="59">
        <v>1082.55</v>
      </c>
      <c r="U107" s="59">
        <v>1343.46</v>
      </c>
      <c r="V107" s="59">
        <v>204.31</v>
      </c>
      <c r="W107" s="59">
        <v>520.38</v>
      </c>
      <c r="X107" s="59">
        <v>131.01</v>
      </c>
      <c r="Y107" s="60">
        <f>SUM(TravelExpenseTable[[#This Row],[Airfare_USD]],,,TravelExpenseTable[[#This Row],[Hotel_USD]],TravelExpenseTable[[#This Row],[Ground_Transport_USD]],TravelExpenseTable[[#This Row],[Meals_USD]],TravelExpenseTable[[#This Row],[Other_Expenses_USD]])</f>
        <v>3281.71</v>
      </c>
      <c r="Z107" s="59">
        <v>3107.15</v>
      </c>
      <c r="AA107" s="60">
        <f>TravelExpenseTable[[#This Row],[Budget_USD]]-TravelExpenseTable[[#This Row],[Total_Actual_USD]]</f>
        <v>-174.55999999999995</v>
      </c>
      <c r="AB107" s="61">
        <f>TravelExpenseTable[[#This Row],[Budget_Variance_USD]]/TravelExpenseTable[[#This Row],[Budget_USD]]</f>
        <v>-5.6180100735400591E-2</v>
      </c>
      <c r="AC107" s="60" t="str">
        <f t="shared" si="13"/>
        <v>Over Budget</v>
      </c>
      <c r="AD107" s="55" t="s">
        <v>50</v>
      </c>
      <c r="AE107" s="55" t="s">
        <v>92</v>
      </c>
      <c r="AF107" s="55" t="s">
        <v>53</v>
      </c>
      <c r="AG107" s="55" t="s">
        <v>52</v>
      </c>
      <c r="AH107" s="55" t="s">
        <v>63</v>
      </c>
    </row>
    <row r="108" spans="1:34">
      <c r="A108" s="41" t="s">
        <v>251</v>
      </c>
      <c r="B108" s="41" t="s">
        <v>94</v>
      </c>
      <c r="C108" s="41" t="s">
        <v>95</v>
      </c>
      <c r="D108" s="41" t="s">
        <v>57</v>
      </c>
      <c r="E108" s="41" t="s">
        <v>43</v>
      </c>
      <c r="F108" s="41" t="s">
        <v>58</v>
      </c>
      <c r="G108" s="41" t="s">
        <v>59</v>
      </c>
      <c r="H108" s="41" t="s">
        <v>126</v>
      </c>
      <c r="I108" s="41" t="s">
        <v>81</v>
      </c>
      <c r="J108" s="4">
        <v>46053</v>
      </c>
      <c r="K108" s="4">
        <v>46085</v>
      </c>
      <c r="L108" s="4">
        <v>46089</v>
      </c>
      <c r="M108" s="17">
        <f t="shared" si="7"/>
        <v>46082</v>
      </c>
      <c r="N108" s="17" t="str">
        <f t="shared" si="11"/>
        <v>Mar</v>
      </c>
      <c r="O108" s="10">
        <f t="shared" si="12"/>
        <v>3</v>
      </c>
      <c r="P108" s="10">
        <f>TravelExpenseTable[[#This Row],[Departure_Date]]-TravelExpenseTable[[#This Row],[Booking_Date]]</f>
        <v>32</v>
      </c>
      <c r="Q108" s="10">
        <f>TravelExpenseTable[[#This Row],[Return_Date]]-TravelExpenseTable[[#This Row],[Departure_Date]]</f>
        <v>4</v>
      </c>
      <c r="R108" s="41" t="s">
        <v>70</v>
      </c>
      <c r="S108" s="41" t="s">
        <v>113</v>
      </c>
      <c r="T108" s="5">
        <v>1540.6</v>
      </c>
      <c r="U108" s="5">
        <v>784.49</v>
      </c>
      <c r="V108" s="5">
        <v>235.05</v>
      </c>
      <c r="W108" s="5">
        <v>367.58</v>
      </c>
      <c r="X108" s="5">
        <v>168.52</v>
      </c>
      <c r="Y108" s="6">
        <f>SUM(TravelExpenseTable[[#This Row],[Airfare_USD]],,,TravelExpenseTable[[#This Row],[Hotel_USD]],TravelExpenseTable[[#This Row],[Ground_Transport_USD]],TravelExpenseTable[[#This Row],[Meals_USD]],TravelExpenseTable[[#This Row],[Other_Expenses_USD]])</f>
        <v>3096.2400000000002</v>
      </c>
      <c r="Z108" s="5">
        <v>3550.5</v>
      </c>
      <c r="AA108" s="6">
        <f>TravelExpenseTable[[#This Row],[Budget_USD]]-TravelExpenseTable[[#This Row],[Total_Actual_USD]]</f>
        <v>454.25999999999976</v>
      </c>
      <c r="AB108" s="13">
        <f>TravelExpenseTable[[#This Row],[Budget_Variance_USD]]/TravelExpenseTable[[#This Row],[Budget_USD]]</f>
        <v>0.12794254330375995</v>
      </c>
      <c r="AC108" s="6" t="str">
        <f t="shared" si="13"/>
        <v>Within Budget</v>
      </c>
      <c r="AD108" s="41" t="s">
        <v>50</v>
      </c>
      <c r="AE108" s="41" t="s">
        <v>50</v>
      </c>
      <c r="AF108" s="41" t="s">
        <v>52</v>
      </c>
      <c r="AG108" s="41" t="s">
        <v>53</v>
      </c>
      <c r="AH108" s="41"/>
    </row>
    <row r="109" spans="1:34">
      <c r="A109" s="41" t="s">
        <v>252</v>
      </c>
      <c r="B109" s="41" t="s">
        <v>162</v>
      </c>
      <c r="C109" s="41" t="s">
        <v>95</v>
      </c>
      <c r="D109" s="41" t="s">
        <v>86</v>
      </c>
      <c r="E109" s="41" t="s">
        <v>43</v>
      </c>
      <c r="F109" s="41" t="s">
        <v>90</v>
      </c>
      <c r="G109" s="41" t="s">
        <v>45</v>
      </c>
      <c r="H109" s="41" t="s">
        <v>116</v>
      </c>
      <c r="I109" s="41" t="s">
        <v>81</v>
      </c>
      <c r="J109" s="4">
        <v>46123</v>
      </c>
      <c r="K109" s="4">
        <v>46141</v>
      </c>
      <c r="L109" s="4">
        <v>46142</v>
      </c>
      <c r="M109" s="17">
        <f t="shared" si="7"/>
        <v>46113</v>
      </c>
      <c r="N109" s="17" t="str">
        <f t="shared" si="11"/>
        <v>Apr</v>
      </c>
      <c r="O109" s="10">
        <f t="shared" si="12"/>
        <v>4</v>
      </c>
      <c r="P109" s="10">
        <f>TravelExpenseTable[[#This Row],[Departure_Date]]-TravelExpenseTable[[#This Row],[Booking_Date]]</f>
        <v>18</v>
      </c>
      <c r="Q109" s="10">
        <f>TravelExpenseTable[[#This Row],[Return_Date]]-TravelExpenseTable[[#This Row],[Departure_Date]]</f>
        <v>1</v>
      </c>
      <c r="R109" s="41" t="s">
        <v>98</v>
      </c>
      <c r="S109" s="41" t="s">
        <v>77</v>
      </c>
      <c r="T109" s="5">
        <v>333.84</v>
      </c>
      <c r="U109" s="5">
        <v>278.2</v>
      </c>
      <c r="V109" s="5">
        <v>54.88</v>
      </c>
      <c r="W109" s="5">
        <v>85.23</v>
      </c>
      <c r="X109" s="5">
        <v>52.07</v>
      </c>
      <c r="Y109" s="6">
        <f>SUM(TravelExpenseTable[[#This Row],[Airfare_USD]],,,TravelExpenseTable[[#This Row],[Hotel_USD]],TravelExpenseTable[[#This Row],[Ground_Transport_USD]],TravelExpenseTable[[#This Row],[Meals_USD]],TravelExpenseTable[[#This Row],[Other_Expenses_USD]])</f>
        <v>804.22</v>
      </c>
      <c r="Z109" s="5">
        <v>904.54</v>
      </c>
      <c r="AA109" s="6">
        <f>TravelExpenseTable[[#This Row],[Budget_USD]]-TravelExpenseTable[[#This Row],[Total_Actual_USD]]</f>
        <v>100.31999999999994</v>
      </c>
      <c r="AB109" s="13">
        <f>TravelExpenseTable[[#This Row],[Budget_Variance_USD]]/TravelExpenseTable[[#This Row],[Budget_USD]]</f>
        <v>0.11090720145046094</v>
      </c>
      <c r="AC109" s="6" t="str">
        <f t="shared" si="13"/>
        <v>Within Budget</v>
      </c>
      <c r="AD109" s="41" t="s">
        <v>51</v>
      </c>
      <c r="AE109" s="41" t="s">
        <v>83</v>
      </c>
      <c r="AF109" s="41" t="s">
        <v>52</v>
      </c>
      <c r="AG109" s="41" t="s">
        <v>53</v>
      </c>
      <c r="AH109" s="41"/>
    </row>
    <row r="110" spans="1:34">
      <c r="A110" s="55" t="s">
        <v>253</v>
      </c>
      <c r="B110" s="55" t="s">
        <v>143</v>
      </c>
      <c r="C110" s="55" t="s">
        <v>66</v>
      </c>
      <c r="D110" s="55" t="s">
        <v>86</v>
      </c>
      <c r="E110" s="55" t="s">
        <v>43</v>
      </c>
      <c r="F110" s="55" t="s">
        <v>104</v>
      </c>
      <c r="G110" s="55" t="s">
        <v>45</v>
      </c>
      <c r="H110" s="55" t="s">
        <v>69</v>
      </c>
      <c r="I110" s="55" t="s">
        <v>81</v>
      </c>
      <c r="J110" s="56">
        <v>46059</v>
      </c>
      <c r="K110" s="56">
        <v>46104</v>
      </c>
      <c r="L110" s="56">
        <v>46106</v>
      </c>
      <c r="M110" s="57">
        <f t="shared" si="7"/>
        <v>46082</v>
      </c>
      <c r="N110" s="57" t="str">
        <f t="shared" si="11"/>
        <v>Mar</v>
      </c>
      <c r="O110" s="58">
        <f t="shared" si="12"/>
        <v>3</v>
      </c>
      <c r="P110" s="58">
        <f>TravelExpenseTable[[#This Row],[Departure_Date]]-TravelExpenseTable[[#This Row],[Booking_Date]]</f>
        <v>45</v>
      </c>
      <c r="Q110" s="58">
        <f>TravelExpenseTable[[#This Row],[Return_Date]]-TravelExpenseTable[[#This Row],[Departure_Date]]</f>
        <v>2</v>
      </c>
      <c r="R110" s="55" t="s">
        <v>98</v>
      </c>
      <c r="S110" s="55" t="s">
        <v>113</v>
      </c>
      <c r="T110" s="59">
        <v>479.43</v>
      </c>
      <c r="U110" s="59">
        <v>734.08</v>
      </c>
      <c r="V110" s="59">
        <v>75.650000000000006</v>
      </c>
      <c r="W110" s="59">
        <v>191.45</v>
      </c>
      <c r="X110" s="59">
        <v>100.05</v>
      </c>
      <c r="Y110" s="60">
        <f>SUM(TravelExpenseTable[[#This Row],[Airfare_USD]],,,TravelExpenseTable[[#This Row],[Hotel_USD]],TravelExpenseTable[[#This Row],[Ground_Transport_USD]],TravelExpenseTable[[#This Row],[Meals_USD]],TravelExpenseTable[[#This Row],[Other_Expenses_USD]])</f>
        <v>1580.66</v>
      </c>
      <c r="Z110" s="59">
        <v>1413.21</v>
      </c>
      <c r="AA110" s="60">
        <f>TravelExpenseTable[[#This Row],[Budget_USD]]-TravelExpenseTable[[#This Row],[Total_Actual_USD]]</f>
        <v>-167.45000000000005</v>
      </c>
      <c r="AB110" s="61">
        <f>TravelExpenseTable[[#This Row],[Budget_Variance_USD]]/TravelExpenseTable[[#This Row],[Budget_USD]]</f>
        <v>-0.11848911343678578</v>
      </c>
      <c r="AC110" s="60" t="str">
        <f t="shared" si="13"/>
        <v>Over Budget</v>
      </c>
      <c r="AD110" s="55" t="s">
        <v>50</v>
      </c>
      <c r="AE110" s="55" t="s">
        <v>51</v>
      </c>
      <c r="AF110" s="55" t="s">
        <v>52</v>
      </c>
      <c r="AG110" s="55" t="s">
        <v>52</v>
      </c>
      <c r="AH110" s="55" t="s">
        <v>117</v>
      </c>
    </row>
    <row r="111" spans="1:34">
      <c r="A111" s="41" t="s">
        <v>254</v>
      </c>
      <c r="B111" s="41" t="s">
        <v>149</v>
      </c>
      <c r="C111" s="41" t="s">
        <v>95</v>
      </c>
      <c r="D111" s="41" t="s">
        <v>86</v>
      </c>
      <c r="E111" s="41" t="s">
        <v>43</v>
      </c>
      <c r="F111" s="41" t="s">
        <v>172</v>
      </c>
      <c r="G111" s="41" t="s">
        <v>59</v>
      </c>
      <c r="H111" s="41" t="s">
        <v>75</v>
      </c>
      <c r="I111" s="41" t="s">
        <v>81</v>
      </c>
      <c r="J111" s="4">
        <v>46038</v>
      </c>
      <c r="K111" s="4">
        <v>46065</v>
      </c>
      <c r="L111" s="4">
        <v>46070</v>
      </c>
      <c r="M111" s="17">
        <f t="shared" si="7"/>
        <v>46054</v>
      </c>
      <c r="N111" s="17" t="str">
        <f t="shared" si="11"/>
        <v>Feb</v>
      </c>
      <c r="O111" s="10">
        <f t="shared" si="12"/>
        <v>2</v>
      </c>
      <c r="P111" s="10">
        <f>TravelExpenseTable[[#This Row],[Departure_Date]]-TravelExpenseTable[[#This Row],[Booking_Date]]</f>
        <v>27</v>
      </c>
      <c r="Q111" s="10">
        <f>TravelExpenseTable[[#This Row],[Return_Date]]-TravelExpenseTable[[#This Row],[Departure_Date]]</f>
        <v>5</v>
      </c>
      <c r="R111" s="41" t="s">
        <v>61</v>
      </c>
      <c r="S111" s="41" t="s">
        <v>77</v>
      </c>
      <c r="T111" s="5">
        <v>947.88</v>
      </c>
      <c r="U111" s="5">
        <v>1764.66</v>
      </c>
      <c r="V111" s="5">
        <v>106.09</v>
      </c>
      <c r="W111" s="5">
        <v>413.91</v>
      </c>
      <c r="X111" s="5">
        <v>10.37</v>
      </c>
      <c r="Y111" s="6">
        <f>SUM(TravelExpenseTable[[#This Row],[Airfare_USD]],,,TravelExpenseTable[[#This Row],[Hotel_USD]],TravelExpenseTable[[#This Row],[Ground_Transport_USD]],TravelExpenseTable[[#This Row],[Meals_USD]],TravelExpenseTable[[#This Row],[Other_Expenses_USD]])</f>
        <v>3242.91</v>
      </c>
      <c r="Z111" s="5">
        <v>3255.24</v>
      </c>
      <c r="AA111" s="6">
        <f>TravelExpenseTable[[#This Row],[Budget_USD]]-TravelExpenseTable[[#This Row],[Total_Actual_USD]]</f>
        <v>12.329999999999927</v>
      </c>
      <c r="AB111" s="13">
        <f>TravelExpenseTable[[#This Row],[Budget_Variance_USD]]/TravelExpenseTable[[#This Row],[Budget_USD]]</f>
        <v>3.7877391528734986E-3</v>
      </c>
      <c r="AC111" s="6" t="str">
        <f t="shared" si="13"/>
        <v>Within Budget</v>
      </c>
      <c r="AD111" s="41" t="s">
        <v>50</v>
      </c>
      <c r="AE111" s="41" t="s">
        <v>50</v>
      </c>
      <c r="AF111" s="41" t="s">
        <v>52</v>
      </c>
      <c r="AG111" s="41" t="s">
        <v>53</v>
      </c>
      <c r="AH111" s="41"/>
    </row>
    <row r="112" spans="1:34">
      <c r="A112" s="41" t="s">
        <v>255</v>
      </c>
      <c r="B112" s="41" t="s">
        <v>256</v>
      </c>
      <c r="C112" s="41" t="s">
        <v>66</v>
      </c>
      <c r="D112" s="41" t="s">
        <v>42</v>
      </c>
      <c r="E112" s="41" t="s">
        <v>43</v>
      </c>
      <c r="F112" s="41" t="s">
        <v>104</v>
      </c>
      <c r="G112" s="41" t="s">
        <v>45</v>
      </c>
      <c r="H112" s="41" t="s">
        <v>112</v>
      </c>
      <c r="I112" s="41" t="s">
        <v>81</v>
      </c>
      <c r="J112" s="4">
        <v>46068</v>
      </c>
      <c r="K112" s="4">
        <v>46092</v>
      </c>
      <c r="L112" s="4">
        <v>46094</v>
      </c>
      <c r="M112" s="17">
        <f t="shared" si="7"/>
        <v>46082</v>
      </c>
      <c r="N112" s="17" t="str">
        <f t="shared" si="11"/>
        <v>Mar</v>
      </c>
      <c r="O112" s="10">
        <f t="shared" si="12"/>
        <v>3</v>
      </c>
      <c r="P112" s="10">
        <f>TravelExpenseTable[[#This Row],[Departure_Date]]-TravelExpenseTable[[#This Row],[Booking_Date]]</f>
        <v>24</v>
      </c>
      <c r="Q112" s="10">
        <f>TravelExpenseTable[[#This Row],[Return_Date]]-TravelExpenseTable[[#This Row],[Departure_Date]]</f>
        <v>2</v>
      </c>
      <c r="R112" s="41" t="s">
        <v>98</v>
      </c>
      <c r="S112" s="41" t="s">
        <v>71</v>
      </c>
      <c r="T112" s="5">
        <v>623.01</v>
      </c>
      <c r="U112" s="5">
        <v>516.19000000000005</v>
      </c>
      <c r="V112" s="5">
        <v>91.98</v>
      </c>
      <c r="W112" s="5">
        <v>190.84</v>
      </c>
      <c r="X112" s="5">
        <v>108.53</v>
      </c>
      <c r="Y112" s="6">
        <f>SUM(TravelExpenseTable[[#This Row],[Airfare_USD]],,,TravelExpenseTable[[#This Row],[Hotel_USD]],TravelExpenseTable[[#This Row],[Ground_Transport_USD]],TravelExpenseTable[[#This Row],[Meals_USD]],TravelExpenseTable[[#This Row],[Other_Expenses_USD]])</f>
        <v>1530.55</v>
      </c>
      <c r="Z112" s="5">
        <v>1748.02</v>
      </c>
      <c r="AA112" s="6">
        <f>TravelExpenseTable[[#This Row],[Budget_USD]]-TravelExpenseTable[[#This Row],[Total_Actual_USD]]</f>
        <v>217.47000000000003</v>
      </c>
      <c r="AB112" s="13">
        <f>TravelExpenseTable[[#This Row],[Budget_Variance_USD]]/TravelExpenseTable[[#This Row],[Budget_USD]]</f>
        <v>0.1244093317010103</v>
      </c>
      <c r="AC112" s="6" t="str">
        <f t="shared" si="13"/>
        <v>Within Budget</v>
      </c>
      <c r="AD112" s="41" t="s">
        <v>50</v>
      </c>
      <c r="AE112" s="41" t="s">
        <v>50</v>
      </c>
      <c r="AF112" s="41" t="s">
        <v>52</v>
      </c>
      <c r="AG112" s="41" t="s">
        <v>53</v>
      </c>
      <c r="AH112" s="41"/>
    </row>
    <row r="113" spans="1:34">
      <c r="A113" s="55" t="s">
        <v>257</v>
      </c>
      <c r="B113" s="55" t="s">
        <v>100</v>
      </c>
      <c r="C113" s="55" t="s">
        <v>41</v>
      </c>
      <c r="D113" s="55" t="s">
        <v>57</v>
      </c>
      <c r="E113" s="55" t="s">
        <v>43</v>
      </c>
      <c r="F113" s="55" t="s">
        <v>182</v>
      </c>
      <c r="G113" s="55" t="s">
        <v>45</v>
      </c>
      <c r="H113" s="55" t="s">
        <v>46</v>
      </c>
      <c r="I113" s="55" t="s">
        <v>76</v>
      </c>
      <c r="J113" s="56">
        <v>46125</v>
      </c>
      <c r="K113" s="56">
        <v>46149</v>
      </c>
      <c r="L113" s="56">
        <v>46151</v>
      </c>
      <c r="M113" s="57">
        <f t="shared" si="7"/>
        <v>46143</v>
      </c>
      <c r="N113" s="57" t="str">
        <f t="shared" si="11"/>
        <v>May</v>
      </c>
      <c r="O113" s="58">
        <f t="shared" si="12"/>
        <v>5</v>
      </c>
      <c r="P113" s="58">
        <f>TravelExpenseTable[[#This Row],[Departure_Date]]-TravelExpenseTable[[#This Row],[Booking_Date]]</f>
        <v>24</v>
      </c>
      <c r="Q113" s="58">
        <f>TravelExpenseTable[[#This Row],[Return_Date]]-TravelExpenseTable[[#This Row],[Departure_Date]]</f>
        <v>2</v>
      </c>
      <c r="R113" s="55" t="s">
        <v>102</v>
      </c>
      <c r="S113" s="55" t="s">
        <v>91</v>
      </c>
      <c r="T113" s="59">
        <v>758.38</v>
      </c>
      <c r="U113" s="59">
        <v>317.54000000000002</v>
      </c>
      <c r="V113" s="59">
        <v>219.93</v>
      </c>
      <c r="W113" s="59">
        <v>167.47</v>
      </c>
      <c r="X113" s="59">
        <v>43.67</v>
      </c>
      <c r="Y113" s="60">
        <f>SUM(TravelExpenseTable[[#This Row],[Airfare_USD]],,,TravelExpenseTable[[#This Row],[Hotel_USD]],TravelExpenseTable[[#This Row],[Ground_Transport_USD]],TravelExpenseTable[[#This Row],[Meals_USD]],TravelExpenseTable[[#This Row],[Other_Expenses_USD]])</f>
        <v>1506.9900000000002</v>
      </c>
      <c r="Z113" s="59">
        <v>1599.4</v>
      </c>
      <c r="AA113" s="60">
        <f>TravelExpenseTable[[#This Row],[Budget_USD]]-TravelExpenseTable[[#This Row],[Total_Actual_USD]]</f>
        <v>92.409999999999854</v>
      </c>
      <c r="AB113" s="61">
        <f>TravelExpenseTable[[#This Row],[Budget_Variance_USD]]/TravelExpenseTable[[#This Row],[Budget_USD]]</f>
        <v>5.7777916718769445E-2</v>
      </c>
      <c r="AC113" s="60" t="str">
        <f t="shared" si="13"/>
        <v>Within Budget</v>
      </c>
      <c r="AD113" s="55" t="s">
        <v>50</v>
      </c>
      <c r="AE113" s="55" t="s">
        <v>83</v>
      </c>
      <c r="AF113" s="55" t="s">
        <v>53</v>
      </c>
      <c r="AG113" s="55" t="s">
        <v>52</v>
      </c>
      <c r="AH113" s="55" t="s">
        <v>63</v>
      </c>
    </row>
    <row r="114" spans="1:34">
      <c r="A114" s="55" t="s">
        <v>258</v>
      </c>
      <c r="B114" s="55" t="s">
        <v>256</v>
      </c>
      <c r="C114" s="55" t="s">
        <v>66</v>
      </c>
      <c r="D114" s="55" t="s">
        <v>42</v>
      </c>
      <c r="E114" s="55" t="s">
        <v>43</v>
      </c>
      <c r="F114" s="55" t="s">
        <v>80</v>
      </c>
      <c r="G114" s="55" t="s">
        <v>59</v>
      </c>
      <c r="H114" s="55" t="s">
        <v>46</v>
      </c>
      <c r="I114" s="55" t="s">
        <v>60</v>
      </c>
      <c r="J114" s="56">
        <v>46141</v>
      </c>
      <c r="K114" s="56">
        <v>46163</v>
      </c>
      <c r="L114" s="56">
        <v>46168</v>
      </c>
      <c r="M114" s="57">
        <f t="shared" si="7"/>
        <v>46143</v>
      </c>
      <c r="N114" s="57" t="str">
        <f t="shared" si="11"/>
        <v>May</v>
      </c>
      <c r="O114" s="58">
        <f t="shared" si="12"/>
        <v>5</v>
      </c>
      <c r="P114" s="58">
        <f>TravelExpenseTable[[#This Row],[Departure_Date]]-TravelExpenseTable[[#This Row],[Booking_Date]]</f>
        <v>22</v>
      </c>
      <c r="Q114" s="58">
        <f>TravelExpenseTable[[#This Row],[Return_Date]]-TravelExpenseTable[[#This Row],[Departure_Date]]</f>
        <v>5</v>
      </c>
      <c r="R114" s="55" t="s">
        <v>121</v>
      </c>
      <c r="S114" s="55" t="s">
        <v>77</v>
      </c>
      <c r="T114" s="59">
        <v>1583.1</v>
      </c>
      <c r="U114" s="59">
        <v>1636.29</v>
      </c>
      <c r="V114" s="59">
        <v>260.41000000000003</v>
      </c>
      <c r="W114" s="59">
        <v>371.07</v>
      </c>
      <c r="X114" s="59">
        <v>36.56</v>
      </c>
      <c r="Y114" s="60">
        <f>SUM(TravelExpenseTable[[#This Row],[Airfare_USD]],,,TravelExpenseTable[[#This Row],[Hotel_USD]],TravelExpenseTable[[#This Row],[Ground_Transport_USD]],TravelExpenseTable[[#This Row],[Meals_USD]],TravelExpenseTable[[#This Row],[Other_Expenses_USD]])</f>
        <v>3887.43</v>
      </c>
      <c r="Z114" s="59">
        <v>3785.88</v>
      </c>
      <c r="AA114" s="60">
        <f>TravelExpenseTable[[#This Row],[Budget_USD]]-TravelExpenseTable[[#This Row],[Total_Actual_USD]]</f>
        <v>-101.54999999999973</v>
      </c>
      <c r="AB114" s="61">
        <f>TravelExpenseTable[[#This Row],[Budget_Variance_USD]]/TravelExpenseTable[[#This Row],[Budget_USD]]</f>
        <v>-2.6823354147516489E-2</v>
      </c>
      <c r="AC114" s="60" t="str">
        <f t="shared" si="13"/>
        <v>Over Budget</v>
      </c>
      <c r="AD114" s="55" t="s">
        <v>50</v>
      </c>
      <c r="AE114" s="55" t="s">
        <v>50</v>
      </c>
      <c r="AF114" s="55" t="s">
        <v>53</v>
      </c>
      <c r="AG114" s="55" t="s">
        <v>52</v>
      </c>
      <c r="AH114" s="55" t="s">
        <v>63</v>
      </c>
    </row>
    <row r="115" spans="1:34">
      <c r="A115" s="41" t="s">
        <v>259</v>
      </c>
      <c r="B115" s="41" t="s">
        <v>130</v>
      </c>
      <c r="C115" s="41" t="s">
        <v>41</v>
      </c>
      <c r="D115" s="41" t="s">
        <v>57</v>
      </c>
      <c r="E115" s="41" t="s">
        <v>43</v>
      </c>
      <c r="F115" s="41" t="s">
        <v>120</v>
      </c>
      <c r="G115" s="41" t="s">
        <v>59</v>
      </c>
      <c r="H115" s="41" t="s">
        <v>46</v>
      </c>
      <c r="I115" s="41" t="s">
        <v>81</v>
      </c>
      <c r="J115" s="4">
        <v>46147</v>
      </c>
      <c r="K115" s="4">
        <v>46176</v>
      </c>
      <c r="L115" s="4">
        <v>46183</v>
      </c>
      <c r="M115" s="17">
        <f t="shared" si="7"/>
        <v>46174</v>
      </c>
      <c r="N115" s="17" t="str">
        <f t="shared" si="11"/>
        <v>Jun</v>
      </c>
      <c r="O115" s="10">
        <f t="shared" si="12"/>
        <v>6</v>
      </c>
      <c r="P115" s="10">
        <f>TravelExpenseTable[[#This Row],[Departure_Date]]-TravelExpenseTable[[#This Row],[Booking_Date]]</f>
        <v>29</v>
      </c>
      <c r="Q115" s="10">
        <f>TravelExpenseTable[[#This Row],[Return_Date]]-TravelExpenseTable[[#This Row],[Departure_Date]]</f>
        <v>7</v>
      </c>
      <c r="R115" s="41" t="s">
        <v>70</v>
      </c>
      <c r="S115" s="41" t="s">
        <v>91</v>
      </c>
      <c r="T115" s="5">
        <v>1043.31</v>
      </c>
      <c r="U115" s="5">
        <v>1994.07</v>
      </c>
      <c r="V115" s="5">
        <v>233.65</v>
      </c>
      <c r="W115" s="5">
        <v>672.64</v>
      </c>
      <c r="X115" s="5">
        <v>46.32</v>
      </c>
      <c r="Y115" s="6">
        <f>SUM(TravelExpenseTable[[#This Row],[Airfare_USD]],,,TravelExpenseTable[[#This Row],[Hotel_USD]],TravelExpenseTable[[#This Row],[Ground_Transport_USD]],TravelExpenseTable[[#This Row],[Meals_USD]],TravelExpenseTable[[#This Row],[Other_Expenses_USD]])</f>
        <v>3989.9900000000002</v>
      </c>
      <c r="Z115" s="5">
        <v>4494.63</v>
      </c>
      <c r="AA115" s="6">
        <f>TravelExpenseTable[[#This Row],[Budget_USD]]-TravelExpenseTable[[#This Row],[Total_Actual_USD]]</f>
        <v>504.63999999999987</v>
      </c>
      <c r="AB115" s="13">
        <f>TravelExpenseTable[[#This Row],[Budget_Variance_USD]]/TravelExpenseTable[[#This Row],[Budget_USD]]</f>
        <v>0.11227620516038024</v>
      </c>
      <c r="AC115" s="6" t="str">
        <f t="shared" si="13"/>
        <v>Within Budget</v>
      </c>
      <c r="AD115" s="41" t="s">
        <v>50</v>
      </c>
      <c r="AE115" s="41" t="s">
        <v>83</v>
      </c>
      <c r="AF115" s="41" t="s">
        <v>52</v>
      </c>
      <c r="AG115" s="41" t="s">
        <v>53</v>
      </c>
      <c r="AH115" s="41"/>
    </row>
    <row r="116" spans="1:34">
      <c r="A116" s="41" t="s">
        <v>260</v>
      </c>
      <c r="B116" s="41" t="s">
        <v>196</v>
      </c>
      <c r="C116" s="41" t="s">
        <v>41</v>
      </c>
      <c r="D116" s="41" t="s">
        <v>111</v>
      </c>
      <c r="E116" s="41" t="s">
        <v>43</v>
      </c>
      <c r="F116" s="41" t="s">
        <v>125</v>
      </c>
      <c r="G116" s="41" t="s">
        <v>45</v>
      </c>
      <c r="H116" s="41" t="s">
        <v>116</v>
      </c>
      <c r="I116" s="41" t="s">
        <v>47</v>
      </c>
      <c r="J116" s="4">
        <v>46048</v>
      </c>
      <c r="K116" s="4">
        <v>46062</v>
      </c>
      <c r="L116" s="4">
        <v>46066</v>
      </c>
      <c r="M116" s="17">
        <f t="shared" si="7"/>
        <v>46054</v>
      </c>
      <c r="N116" s="17" t="str">
        <f t="shared" si="11"/>
        <v>Feb</v>
      </c>
      <c r="O116" s="10">
        <f t="shared" si="12"/>
        <v>2</v>
      </c>
      <c r="P116" s="10">
        <f>TravelExpenseTable[[#This Row],[Departure_Date]]-TravelExpenseTable[[#This Row],[Booking_Date]]</f>
        <v>14</v>
      </c>
      <c r="Q116" s="10">
        <f>TravelExpenseTable[[#This Row],[Return_Date]]-TravelExpenseTable[[#This Row],[Departure_Date]]</f>
        <v>4</v>
      </c>
      <c r="R116" s="41" t="s">
        <v>48</v>
      </c>
      <c r="S116" s="41" t="s">
        <v>62</v>
      </c>
      <c r="T116" s="5">
        <v>252.37</v>
      </c>
      <c r="U116" s="5">
        <v>1534.4</v>
      </c>
      <c r="V116" s="5">
        <v>53.49</v>
      </c>
      <c r="W116" s="5">
        <v>221.53</v>
      </c>
      <c r="X116" s="5">
        <v>24.75</v>
      </c>
      <c r="Y116" s="6">
        <f>SUM(TravelExpenseTable[[#This Row],[Airfare_USD]],,,TravelExpenseTable[[#This Row],[Hotel_USD]],TravelExpenseTable[[#This Row],[Ground_Transport_USD]],TravelExpenseTable[[#This Row],[Meals_USD]],TravelExpenseTable[[#This Row],[Other_Expenses_USD]])</f>
        <v>2086.54</v>
      </c>
      <c r="Z116" s="5">
        <v>2230.9499999999998</v>
      </c>
      <c r="AA116" s="6">
        <f>TravelExpenseTable[[#This Row],[Budget_USD]]-TravelExpenseTable[[#This Row],[Total_Actual_USD]]</f>
        <v>144.40999999999985</v>
      </c>
      <c r="AB116" s="13">
        <f>TravelExpenseTable[[#This Row],[Budget_Variance_USD]]/TravelExpenseTable[[#This Row],[Budget_USD]]</f>
        <v>6.4730271857280475E-2</v>
      </c>
      <c r="AC116" s="6" t="str">
        <f t="shared" si="13"/>
        <v>Within Budget</v>
      </c>
      <c r="AD116" s="41" t="s">
        <v>50</v>
      </c>
      <c r="AE116" s="41" t="s">
        <v>51</v>
      </c>
      <c r="AF116" s="41" t="s">
        <v>52</v>
      </c>
      <c r="AG116" s="41" t="s">
        <v>53</v>
      </c>
      <c r="AH116" s="41"/>
    </row>
    <row r="117" spans="1:34">
      <c r="A117" s="55" t="s">
        <v>261</v>
      </c>
      <c r="B117" s="55" t="s">
        <v>262</v>
      </c>
      <c r="C117" s="55" t="s">
        <v>95</v>
      </c>
      <c r="D117" s="55" t="s">
        <v>86</v>
      </c>
      <c r="E117" s="55" t="s">
        <v>43</v>
      </c>
      <c r="F117" s="55" t="s">
        <v>159</v>
      </c>
      <c r="G117" s="55" t="s">
        <v>59</v>
      </c>
      <c r="H117" s="55" t="s">
        <v>108</v>
      </c>
      <c r="I117" s="55" t="s">
        <v>81</v>
      </c>
      <c r="J117" s="56">
        <v>46137</v>
      </c>
      <c r="K117" s="56">
        <v>46143</v>
      </c>
      <c r="L117" s="56">
        <v>46148</v>
      </c>
      <c r="M117" s="57">
        <f t="shared" si="7"/>
        <v>46143</v>
      </c>
      <c r="N117" s="57" t="str">
        <f t="shared" si="11"/>
        <v>May</v>
      </c>
      <c r="O117" s="58">
        <f t="shared" si="12"/>
        <v>5</v>
      </c>
      <c r="P117" s="58">
        <f>TravelExpenseTable[[#This Row],[Departure_Date]]-TravelExpenseTable[[#This Row],[Booking_Date]]</f>
        <v>6</v>
      </c>
      <c r="Q117" s="58">
        <f>TravelExpenseTable[[#This Row],[Return_Date]]-TravelExpenseTable[[#This Row],[Departure_Date]]</f>
        <v>5</v>
      </c>
      <c r="R117" s="55" t="s">
        <v>188</v>
      </c>
      <c r="S117" s="55" t="s">
        <v>77</v>
      </c>
      <c r="T117" s="59">
        <v>1674.71</v>
      </c>
      <c r="U117" s="59">
        <v>965.89</v>
      </c>
      <c r="V117" s="59">
        <v>250.55</v>
      </c>
      <c r="W117" s="59">
        <v>435.72</v>
      </c>
      <c r="X117" s="59">
        <v>51.6</v>
      </c>
      <c r="Y117" s="60">
        <f>SUM(TravelExpenseTable[[#This Row],[Airfare_USD]],,,TravelExpenseTable[[#This Row],[Hotel_USD]],TravelExpenseTable[[#This Row],[Ground_Transport_USD]],TravelExpenseTable[[#This Row],[Meals_USD]],TravelExpenseTable[[#This Row],[Other_Expenses_USD]])</f>
        <v>3378.47</v>
      </c>
      <c r="Z117" s="59">
        <v>3482.07</v>
      </c>
      <c r="AA117" s="60">
        <f>TravelExpenseTable[[#This Row],[Budget_USD]]-TravelExpenseTable[[#This Row],[Total_Actual_USD]]</f>
        <v>103.60000000000036</v>
      </c>
      <c r="AB117" s="61">
        <f>TravelExpenseTable[[#This Row],[Budget_Variance_USD]]/TravelExpenseTable[[#This Row],[Budget_USD]]</f>
        <v>2.9752417383912547E-2</v>
      </c>
      <c r="AC117" s="60" t="str">
        <f t="shared" si="13"/>
        <v>Within Budget</v>
      </c>
      <c r="AD117" s="55" t="s">
        <v>50</v>
      </c>
      <c r="AE117" s="55" t="s">
        <v>50</v>
      </c>
      <c r="AF117" s="55" t="s">
        <v>52</v>
      </c>
      <c r="AG117" s="55" t="s">
        <v>52</v>
      </c>
      <c r="AH117" s="55" t="s">
        <v>150</v>
      </c>
    </row>
    <row r="118" spans="1:34">
      <c r="A118" s="41" t="s">
        <v>263</v>
      </c>
      <c r="B118" s="41" t="s">
        <v>85</v>
      </c>
      <c r="C118" s="41" t="s">
        <v>41</v>
      </c>
      <c r="D118" s="41" t="s">
        <v>86</v>
      </c>
      <c r="E118" s="41" t="s">
        <v>43</v>
      </c>
      <c r="F118" s="41" t="s">
        <v>182</v>
      </c>
      <c r="G118" s="41" t="s">
        <v>45</v>
      </c>
      <c r="H118" s="41" t="s">
        <v>46</v>
      </c>
      <c r="I118" s="41" t="s">
        <v>81</v>
      </c>
      <c r="J118" s="4">
        <v>46160</v>
      </c>
      <c r="K118" s="4">
        <v>46185</v>
      </c>
      <c r="L118" s="4">
        <v>46188</v>
      </c>
      <c r="M118" s="17">
        <f t="shared" si="7"/>
        <v>46174</v>
      </c>
      <c r="N118" s="17" t="str">
        <f t="shared" si="11"/>
        <v>Jun</v>
      </c>
      <c r="O118" s="10">
        <f t="shared" si="12"/>
        <v>6</v>
      </c>
      <c r="P118" s="10">
        <f>TravelExpenseTable[[#This Row],[Departure_Date]]-TravelExpenseTable[[#This Row],[Booking_Date]]</f>
        <v>25</v>
      </c>
      <c r="Q118" s="10">
        <f>TravelExpenseTable[[#This Row],[Return_Date]]-TravelExpenseTable[[#This Row],[Departure_Date]]</f>
        <v>3</v>
      </c>
      <c r="R118" s="41" t="s">
        <v>98</v>
      </c>
      <c r="S118" s="41" t="s">
        <v>82</v>
      </c>
      <c r="T118" s="5">
        <v>441.44</v>
      </c>
      <c r="U118" s="5">
        <v>691.2</v>
      </c>
      <c r="V118" s="5">
        <v>218.29</v>
      </c>
      <c r="W118" s="5">
        <v>205.65</v>
      </c>
      <c r="X118" s="5">
        <v>123.13</v>
      </c>
      <c r="Y118" s="6">
        <f>SUM(TravelExpenseTable[[#This Row],[Airfare_USD]],,,TravelExpenseTable[[#This Row],[Hotel_USD]],TravelExpenseTable[[#This Row],[Ground_Transport_USD]],TravelExpenseTable[[#This Row],[Meals_USD]],TravelExpenseTable[[#This Row],[Other_Expenses_USD]])</f>
        <v>1679.71</v>
      </c>
      <c r="Z118" s="5">
        <v>1905.4</v>
      </c>
      <c r="AA118" s="6">
        <f>TravelExpenseTable[[#This Row],[Budget_USD]]-TravelExpenseTable[[#This Row],[Total_Actual_USD]]</f>
        <v>225.69000000000005</v>
      </c>
      <c r="AB118" s="13">
        <f>TravelExpenseTable[[#This Row],[Budget_Variance_USD]]/TravelExpenseTable[[#This Row],[Budget_USD]]</f>
        <v>0.11844757006402858</v>
      </c>
      <c r="AC118" s="6" t="str">
        <f t="shared" si="13"/>
        <v>Within Budget</v>
      </c>
      <c r="AD118" s="41" t="s">
        <v>50</v>
      </c>
      <c r="AE118" s="41" t="s">
        <v>92</v>
      </c>
      <c r="AF118" s="41" t="s">
        <v>52</v>
      </c>
      <c r="AG118" s="41" t="s">
        <v>53</v>
      </c>
      <c r="AH118" s="41"/>
    </row>
    <row r="119" spans="1:34">
      <c r="A119" s="55" t="s">
        <v>264</v>
      </c>
      <c r="B119" s="55" t="s">
        <v>256</v>
      </c>
      <c r="C119" s="55" t="s">
        <v>66</v>
      </c>
      <c r="D119" s="55" t="s">
        <v>42</v>
      </c>
      <c r="E119" s="55" t="s">
        <v>43</v>
      </c>
      <c r="F119" s="55" t="s">
        <v>120</v>
      </c>
      <c r="G119" s="55" t="s">
        <v>59</v>
      </c>
      <c r="H119" s="55" t="s">
        <v>116</v>
      </c>
      <c r="I119" s="55" t="s">
        <v>81</v>
      </c>
      <c r="J119" s="56">
        <v>46105</v>
      </c>
      <c r="K119" s="56">
        <v>46148</v>
      </c>
      <c r="L119" s="56">
        <v>46151</v>
      </c>
      <c r="M119" s="57">
        <f t="shared" si="7"/>
        <v>46143</v>
      </c>
      <c r="N119" s="57" t="str">
        <f t="shared" si="11"/>
        <v>May</v>
      </c>
      <c r="O119" s="58">
        <f t="shared" si="12"/>
        <v>5</v>
      </c>
      <c r="P119" s="58">
        <f>TravelExpenseTable[[#This Row],[Departure_Date]]-TravelExpenseTable[[#This Row],[Booking_Date]]</f>
        <v>43</v>
      </c>
      <c r="Q119" s="58">
        <f>TravelExpenseTable[[#This Row],[Return_Date]]-TravelExpenseTable[[#This Row],[Departure_Date]]</f>
        <v>3</v>
      </c>
      <c r="R119" s="55" t="s">
        <v>188</v>
      </c>
      <c r="S119" s="55" t="s">
        <v>138</v>
      </c>
      <c r="T119" s="59">
        <v>1490.49</v>
      </c>
      <c r="U119" s="59">
        <v>758.82</v>
      </c>
      <c r="V119" s="59">
        <v>314.33</v>
      </c>
      <c r="W119" s="59">
        <v>340.29</v>
      </c>
      <c r="X119" s="59">
        <v>161.06</v>
      </c>
      <c r="Y119" s="60">
        <f>SUM(TravelExpenseTable[[#This Row],[Airfare_USD]],,,TravelExpenseTable[[#This Row],[Hotel_USD]],TravelExpenseTable[[#This Row],[Ground_Transport_USD]],TravelExpenseTable[[#This Row],[Meals_USD]],TravelExpenseTable[[#This Row],[Other_Expenses_USD]])</f>
        <v>3064.99</v>
      </c>
      <c r="Z119" s="59">
        <v>3542.35</v>
      </c>
      <c r="AA119" s="60">
        <f>TravelExpenseTable[[#This Row],[Budget_USD]]-TravelExpenseTable[[#This Row],[Total_Actual_USD]]</f>
        <v>477.36000000000013</v>
      </c>
      <c r="AB119" s="61">
        <f>TravelExpenseTable[[#This Row],[Budget_Variance_USD]]/TravelExpenseTable[[#This Row],[Budget_USD]]</f>
        <v>0.13475799963301202</v>
      </c>
      <c r="AC119" s="60" t="str">
        <f t="shared" si="13"/>
        <v>Within Budget</v>
      </c>
      <c r="AD119" s="55" t="s">
        <v>50</v>
      </c>
      <c r="AE119" s="55" t="s">
        <v>50</v>
      </c>
      <c r="AF119" s="55" t="s">
        <v>53</v>
      </c>
      <c r="AG119" s="55" t="s">
        <v>52</v>
      </c>
      <c r="AH119" s="55" t="s">
        <v>63</v>
      </c>
    </row>
    <row r="120" spans="1:34">
      <c r="A120" s="41" t="s">
        <v>265</v>
      </c>
      <c r="B120" s="41" t="s">
        <v>154</v>
      </c>
      <c r="C120" s="41" t="s">
        <v>41</v>
      </c>
      <c r="D120" s="41" t="s">
        <v>42</v>
      </c>
      <c r="E120" s="41" t="s">
        <v>43</v>
      </c>
      <c r="F120" s="41" t="s">
        <v>90</v>
      </c>
      <c r="G120" s="41" t="s">
        <v>45</v>
      </c>
      <c r="H120" s="41" t="s">
        <v>116</v>
      </c>
      <c r="I120" s="41" t="s">
        <v>81</v>
      </c>
      <c r="J120" s="4">
        <v>46009</v>
      </c>
      <c r="K120" s="4">
        <v>46046</v>
      </c>
      <c r="L120" s="4">
        <v>46049</v>
      </c>
      <c r="M120" s="17">
        <f t="shared" si="7"/>
        <v>46023</v>
      </c>
      <c r="N120" s="17" t="str">
        <f t="shared" si="11"/>
        <v>Jan</v>
      </c>
      <c r="O120" s="10">
        <f t="shared" si="12"/>
        <v>1</v>
      </c>
      <c r="P120" s="10">
        <f>TravelExpenseTable[[#This Row],[Departure_Date]]-TravelExpenseTable[[#This Row],[Booking_Date]]</f>
        <v>37</v>
      </c>
      <c r="Q120" s="10">
        <f>TravelExpenseTable[[#This Row],[Return_Date]]-TravelExpenseTable[[#This Row],[Departure_Date]]</f>
        <v>3</v>
      </c>
      <c r="R120" s="41" t="s">
        <v>70</v>
      </c>
      <c r="S120" s="41" t="s">
        <v>71</v>
      </c>
      <c r="T120" s="5">
        <v>283.60000000000002</v>
      </c>
      <c r="U120" s="5">
        <v>813.93</v>
      </c>
      <c r="V120" s="5">
        <v>188.66</v>
      </c>
      <c r="W120" s="5">
        <v>332.2</v>
      </c>
      <c r="X120" s="5">
        <v>53.87</v>
      </c>
      <c r="Y120" s="6">
        <f>SUM(TravelExpenseTable[[#This Row],[Airfare_USD]],,,TravelExpenseTable[[#This Row],[Hotel_USD]],TravelExpenseTable[[#This Row],[Ground_Transport_USD]],TravelExpenseTable[[#This Row],[Meals_USD]],TravelExpenseTable[[#This Row],[Other_Expenses_USD]])</f>
        <v>1672.26</v>
      </c>
      <c r="Z120" s="5">
        <v>1754.51</v>
      </c>
      <c r="AA120" s="6">
        <f>TravelExpenseTable[[#This Row],[Budget_USD]]-TravelExpenseTable[[#This Row],[Total_Actual_USD]]</f>
        <v>82.25</v>
      </c>
      <c r="AB120" s="13">
        <f>TravelExpenseTable[[#This Row],[Budget_Variance_USD]]/TravelExpenseTable[[#This Row],[Budget_USD]]</f>
        <v>4.6879185641575144E-2</v>
      </c>
      <c r="AC120" s="6" t="str">
        <f t="shared" si="13"/>
        <v>Within Budget</v>
      </c>
      <c r="AD120" s="41" t="s">
        <v>51</v>
      </c>
      <c r="AE120" s="41" t="s">
        <v>83</v>
      </c>
      <c r="AF120" s="41" t="s">
        <v>52</v>
      </c>
      <c r="AG120" s="41" t="s">
        <v>53</v>
      </c>
      <c r="AH120" s="41"/>
    </row>
    <row r="121" spans="1:34">
      <c r="A121" s="41" t="s">
        <v>266</v>
      </c>
      <c r="B121" s="41" t="s">
        <v>94</v>
      </c>
      <c r="C121" s="41" t="s">
        <v>95</v>
      </c>
      <c r="D121" s="41" t="s">
        <v>57</v>
      </c>
      <c r="E121" s="41" t="s">
        <v>43</v>
      </c>
      <c r="F121" s="41" t="s">
        <v>133</v>
      </c>
      <c r="G121" s="41" t="s">
        <v>45</v>
      </c>
      <c r="H121" s="41" t="s">
        <v>126</v>
      </c>
      <c r="I121" s="41" t="s">
        <v>81</v>
      </c>
      <c r="J121" s="4">
        <v>46117</v>
      </c>
      <c r="K121" s="4">
        <v>46125</v>
      </c>
      <c r="L121" s="4">
        <v>46127</v>
      </c>
      <c r="M121" s="17">
        <f t="shared" si="7"/>
        <v>46113</v>
      </c>
      <c r="N121" s="17" t="str">
        <f t="shared" si="11"/>
        <v>Apr</v>
      </c>
      <c r="O121" s="10">
        <f t="shared" si="12"/>
        <v>4</v>
      </c>
      <c r="P121" s="10">
        <f>TravelExpenseTable[[#This Row],[Departure_Date]]-TravelExpenseTable[[#This Row],[Booking_Date]]</f>
        <v>8</v>
      </c>
      <c r="Q121" s="10">
        <f>TravelExpenseTable[[#This Row],[Return_Date]]-TravelExpenseTable[[#This Row],[Departure_Date]]</f>
        <v>2</v>
      </c>
      <c r="R121" s="41" t="s">
        <v>102</v>
      </c>
      <c r="S121" s="41" t="s">
        <v>82</v>
      </c>
      <c r="T121" s="5">
        <v>688.04</v>
      </c>
      <c r="U121" s="5">
        <v>388.99</v>
      </c>
      <c r="V121" s="5">
        <v>179.58</v>
      </c>
      <c r="W121" s="5">
        <v>224.58</v>
      </c>
      <c r="X121" s="5">
        <v>71.41</v>
      </c>
      <c r="Y121" s="6">
        <f>SUM(TravelExpenseTable[[#This Row],[Airfare_USD]],,,TravelExpenseTable[[#This Row],[Hotel_USD]],TravelExpenseTable[[#This Row],[Ground_Transport_USD]],TravelExpenseTable[[#This Row],[Meals_USD]],TravelExpenseTable[[#This Row],[Other_Expenses_USD]])</f>
        <v>1552.6</v>
      </c>
      <c r="Z121" s="5">
        <v>1726.59</v>
      </c>
      <c r="AA121" s="6">
        <f>TravelExpenseTable[[#This Row],[Budget_USD]]-TravelExpenseTable[[#This Row],[Total_Actual_USD]]</f>
        <v>173.99</v>
      </c>
      <c r="AB121" s="13">
        <f>TravelExpenseTable[[#This Row],[Budget_Variance_USD]]/TravelExpenseTable[[#This Row],[Budget_USD]]</f>
        <v>0.10077088364927402</v>
      </c>
      <c r="AC121" s="6" t="str">
        <f t="shared" si="13"/>
        <v>Within Budget</v>
      </c>
      <c r="AD121" s="41" t="s">
        <v>50</v>
      </c>
      <c r="AE121" s="41" t="s">
        <v>51</v>
      </c>
      <c r="AF121" s="41" t="s">
        <v>52</v>
      </c>
      <c r="AG121" s="41" t="s">
        <v>53</v>
      </c>
      <c r="AH121" s="41"/>
    </row>
    <row r="122" spans="1:34">
      <c r="A122" s="41" t="s">
        <v>267</v>
      </c>
      <c r="B122" s="41" t="s">
        <v>167</v>
      </c>
      <c r="C122" s="41" t="s">
        <v>41</v>
      </c>
      <c r="D122" s="41" t="s">
        <v>107</v>
      </c>
      <c r="E122" s="41" t="s">
        <v>43</v>
      </c>
      <c r="F122" s="41" t="s">
        <v>101</v>
      </c>
      <c r="G122" s="41" t="s">
        <v>59</v>
      </c>
      <c r="H122" s="41" t="s">
        <v>97</v>
      </c>
      <c r="I122" s="41" t="s">
        <v>60</v>
      </c>
      <c r="J122" s="4">
        <v>46047</v>
      </c>
      <c r="K122" s="4">
        <v>46085</v>
      </c>
      <c r="L122" s="4">
        <v>46090</v>
      </c>
      <c r="M122" s="17">
        <f t="shared" si="7"/>
        <v>46082</v>
      </c>
      <c r="N122" s="17" t="str">
        <f t="shared" si="11"/>
        <v>Mar</v>
      </c>
      <c r="O122" s="10">
        <f t="shared" si="12"/>
        <v>3</v>
      </c>
      <c r="P122" s="10">
        <f>TravelExpenseTable[[#This Row],[Departure_Date]]-TravelExpenseTable[[#This Row],[Booking_Date]]</f>
        <v>38</v>
      </c>
      <c r="Q122" s="10">
        <f>TravelExpenseTable[[#This Row],[Return_Date]]-TravelExpenseTable[[#This Row],[Departure_Date]]</f>
        <v>5</v>
      </c>
      <c r="R122" s="41" t="s">
        <v>144</v>
      </c>
      <c r="S122" s="41" t="s">
        <v>138</v>
      </c>
      <c r="T122" s="5">
        <v>1224.95</v>
      </c>
      <c r="U122" s="5">
        <v>1537.69</v>
      </c>
      <c r="V122" s="5">
        <v>269.51</v>
      </c>
      <c r="W122" s="5">
        <v>488.93</v>
      </c>
      <c r="X122" s="5">
        <v>14.77</v>
      </c>
      <c r="Y122" s="6">
        <f>SUM(TravelExpenseTable[[#This Row],[Airfare_USD]],,,TravelExpenseTable[[#This Row],[Hotel_USD]],TravelExpenseTable[[#This Row],[Ground_Transport_USD]],TravelExpenseTable[[#This Row],[Meals_USD]],TravelExpenseTable[[#This Row],[Other_Expenses_USD]])</f>
        <v>3535.8500000000004</v>
      </c>
      <c r="Z122" s="5">
        <v>3275.14</v>
      </c>
      <c r="AA122" s="6">
        <f>TravelExpenseTable[[#This Row],[Budget_USD]]-TravelExpenseTable[[#This Row],[Total_Actual_USD]]</f>
        <v>-260.71000000000049</v>
      </c>
      <c r="AB122" s="13">
        <f>TravelExpenseTable[[#This Row],[Budget_Variance_USD]]/TravelExpenseTable[[#This Row],[Budget_USD]]</f>
        <v>-7.960270400654644E-2</v>
      </c>
      <c r="AC122" s="6" t="str">
        <f t="shared" si="13"/>
        <v>Over Budget</v>
      </c>
      <c r="AD122" s="41" t="s">
        <v>50</v>
      </c>
      <c r="AE122" s="41" t="s">
        <v>51</v>
      </c>
      <c r="AF122" s="41" t="s">
        <v>52</v>
      </c>
      <c r="AG122" s="41" t="s">
        <v>53</v>
      </c>
      <c r="AH122" s="41"/>
    </row>
    <row r="123" spans="1:34">
      <c r="A123" s="41" t="s">
        <v>268</v>
      </c>
      <c r="B123" s="41" t="s">
        <v>79</v>
      </c>
      <c r="C123" s="41" t="s">
        <v>41</v>
      </c>
      <c r="D123" s="41" t="s">
        <v>42</v>
      </c>
      <c r="E123" s="41" t="s">
        <v>43</v>
      </c>
      <c r="F123" s="41" t="s">
        <v>68</v>
      </c>
      <c r="G123" s="41" t="s">
        <v>45</v>
      </c>
      <c r="H123" s="41" t="s">
        <v>108</v>
      </c>
      <c r="I123" s="41" t="s">
        <v>81</v>
      </c>
      <c r="J123" s="4">
        <v>46028</v>
      </c>
      <c r="K123" s="4">
        <v>46050</v>
      </c>
      <c r="L123" s="4">
        <v>46051</v>
      </c>
      <c r="M123" s="17">
        <f t="shared" si="7"/>
        <v>46023</v>
      </c>
      <c r="N123" s="17" t="str">
        <f t="shared" si="11"/>
        <v>Jan</v>
      </c>
      <c r="O123" s="10">
        <f t="shared" si="12"/>
        <v>1</v>
      </c>
      <c r="P123" s="10">
        <f>TravelExpenseTable[[#This Row],[Departure_Date]]-TravelExpenseTable[[#This Row],[Booking_Date]]</f>
        <v>22</v>
      </c>
      <c r="Q123" s="10">
        <f>TravelExpenseTable[[#This Row],[Return_Date]]-TravelExpenseTable[[#This Row],[Departure_Date]]</f>
        <v>1</v>
      </c>
      <c r="R123" s="41" t="s">
        <v>121</v>
      </c>
      <c r="S123" s="41" t="s">
        <v>113</v>
      </c>
      <c r="T123" s="5">
        <v>435.79</v>
      </c>
      <c r="U123" s="5">
        <v>229.12</v>
      </c>
      <c r="V123" s="5">
        <v>134.68</v>
      </c>
      <c r="W123" s="5">
        <v>61.2</v>
      </c>
      <c r="X123" s="5">
        <v>16.13</v>
      </c>
      <c r="Y123" s="6">
        <f>SUM(TravelExpenseTable[[#This Row],[Airfare_USD]],,,TravelExpenseTable[[#This Row],[Hotel_USD]],TravelExpenseTable[[#This Row],[Ground_Transport_USD]],TravelExpenseTable[[#This Row],[Meals_USD]],TravelExpenseTable[[#This Row],[Other_Expenses_USD]])</f>
        <v>876.92000000000019</v>
      </c>
      <c r="Z123" s="5">
        <v>917.49</v>
      </c>
      <c r="AA123" s="6">
        <f>TravelExpenseTable[[#This Row],[Budget_USD]]-TravelExpenseTable[[#This Row],[Total_Actual_USD]]</f>
        <v>40.569999999999823</v>
      </c>
      <c r="AB123" s="13">
        <f>TravelExpenseTable[[#This Row],[Budget_Variance_USD]]/TravelExpenseTable[[#This Row],[Budget_USD]]</f>
        <v>4.4218465596355082E-2</v>
      </c>
      <c r="AC123" s="6" t="str">
        <f t="shared" si="13"/>
        <v>Within Budget</v>
      </c>
      <c r="AD123" s="41" t="s">
        <v>51</v>
      </c>
      <c r="AE123" s="41" t="s">
        <v>50</v>
      </c>
      <c r="AF123" s="41" t="s">
        <v>52</v>
      </c>
      <c r="AG123" s="41" t="s">
        <v>53</v>
      </c>
      <c r="AH123" s="41"/>
    </row>
    <row r="124" spans="1:34">
      <c r="A124" s="55" t="s">
        <v>269</v>
      </c>
      <c r="B124" s="55" t="s">
        <v>256</v>
      </c>
      <c r="C124" s="55" t="s">
        <v>66</v>
      </c>
      <c r="D124" s="55" t="s">
        <v>42</v>
      </c>
      <c r="E124" s="55" t="s">
        <v>43</v>
      </c>
      <c r="F124" s="55" t="s">
        <v>96</v>
      </c>
      <c r="G124" s="55" t="s">
        <v>45</v>
      </c>
      <c r="H124" s="55" t="s">
        <v>112</v>
      </c>
      <c r="I124" s="55" t="s">
        <v>60</v>
      </c>
      <c r="J124" s="56">
        <v>46074</v>
      </c>
      <c r="K124" s="56">
        <v>46101</v>
      </c>
      <c r="L124" s="56">
        <v>46105</v>
      </c>
      <c r="M124" s="57">
        <f t="shared" si="7"/>
        <v>46082</v>
      </c>
      <c r="N124" s="57" t="str">
        <f t="shared" si="11"/>
        <v>Mar</v>
      </c>
      <c r="O124" s="58">
        <f t="shared" si="12"/>
        <v>3</v>
      </c>
      <c r="P124" s="58">
        <f>TravelExpenseTable[[#This Row],[Departure_Date]]-TravelExpenseTable[[#This Row],[Booking_Date]]</f>
        <v>27</v>
      </c>
      <c r="Q124" s="58">
        <f>TravelExpenseTable[[#This Row],[Return_Date]]-TravelExpenseTable[[#This Row],[Departure_Date]]</f>
        <v>4</v>
      </c>
      <c r="R124" s="55" t="s">
        <v>48</v>
      </c>
      <c r="S124" s="55" t="s">
        <v>91</v>
      </c>
      <c r="T124" s="59">
        <v>306.66000000000003</v>
      </c>
      <c r="U124" s="59">
        <v>1184.5899999999999</v>
      </c>
      <c r="V124" s="59">
        <v>69.3</v>
      </c>
      <c r="W124" s="59">
        <v>292.27</v>
      </c>
      <c r="X124" s="59">
        <v>88.76</v>
      </c>
      <c r="Y124" s="60">
        <f>SUM(TravelExpenseTable[[#This Row],[Airfare_USD]],,,TravelExpenseTable[[#This Row],[Hotel_USD]],TravelExpenseTable[[#This Row],[Ground_Transport_USD]],TravelExpenseTable[[#This Row],[Meals_USD]],TravelExpenseTable[[#This Row],[Other_Expenses_USD]])</f>
        <v>1941.58</v>
      </c>
      <c r="Z124" s="59">
        <v>1745.44</v>
      </c>
      <c r="AA124" s="60">
        <f>TravelExpenseTable[[#This Row],[Budget_USD]]-TravelExpenseTable[[#This Row],[Total_Actual_USD]]</f>
        <v>-196.13999999999987</v>
      </c>
      <c r="AB124" s="61">
        <f>TravelExpenseTable[[#This Row],[Budget_Variance_USD]]/TravelExpenseTable[[#This Row],[Budget_USD]]</f>
        <v>-0.11237281144009525</v>
      </c>
      <c r="AC124" s="60" t="str">
        <f t="shared" si="13"/>
        <v>Over Budget</v>
      </c>
      <c r="AD124" s="55" t="s">
        <v>50</v>
      </c>
      <c r="AE124" s="55" t="s">
        <v>83</v>
      </c>
      <c r="AF124" s="55" t="s">
        <v>52</v>
      </c>
      <c r="AG124" s="55" t="s">
        <v>52</v>
      </c>
      <c r="AH124" s="55" t="s">
        <v>117</v>
      </c>
    </row>
    <row r="125" spans="1:34">
      <c r="A125" s="41" t="s">
        <v>270</v>
      </c>
      <c r="B125" s="41" t="s">
        <v>79</v>
      </c>
      <c r="C125" s="41" t="s">
        <v>41</v>
      </c>
      <c r="D125" s="41" t="s">
        <v>42</v>
      </c>
      <c r="E125" s="41" t="s">
        <v>43</v>
      </c>
      <c r="F125" s="41" t="s">
        <v>87</v>
      </c>
      <c r="G125" s="41" t="s">
        <v>45</v>
      </c>
      <c r="H125" s="41" t="s">
        <v>69</v>
      </c>
      <c r="I125" s="41" t="s">
        <v>81</v>
      </c>
      <c r="J125" s="4">
        <v>46049</v>
      </c>
      <c r="K125" s="4">
        <v>46090</v>
      </c>
      <c r="L125" s="4">
        <v>46094</v>
      </c>
      <c r="M125" s="17">
        <f t="shared" si="7"/>
        <v>46082</v>
      </c>
      <c r="N125" s="17" t="str">
        <f t="shared" si="11"/>
        <v>Mar</v>
      </c>
      <c r="O125" s="10">
        <f t="shared" si="12"/>
        <v>3</v>
      </c>
      <c r="P125" s="10">
        <f>TravelExpenseTable[[#This Row],[Departure_Date]]-TravelExpenseTable[[#This Row],[Booking_Date]]</f>
        <v>41</v>
      </c>
      <c r="Q125" s="10">
        <f>TravelExpenseTable[[#This Row],[Return_Date]]-TravelExpenseTable[[#This Row],[Departure_Date]]</f>
        <v>4</v>
      </c>
      <c r="R125" s="41" t="s">
        <v>98</v>
      </c>
      <c r="S125" s="41" t="s">
        <v>82</v>
      </c>
      <c r="T125" s="5">
        <v>190.24</v>
      </c>
      <c r="U125" s="5">
        <v>1098.6300000000001</v>
      </c>
      <c r="V125" s="5">
        <v>111.48</v>
      </c>
      <c r="W125" s="5">
        <v>426.93</v>
      </c>
      <c r="X125" s="5">
        <v>79.239999999999995</v>
      </c>
      <c r="Y125" s="6">
        <f>SUM(TravelExpenseTable[[#This Row],[Airfare_USD]],,,TravelExpenseTable[[#This Row],[Hotel_USD]],TravelExpenseTable[[#This Row],[Ground_Transport_USD]],TravelExpenseTable[[#This Row],[Meals_USD]],TravelExpenseTable[[#This Row],[Other_Expenses_USD]])</f>
        <v>1906.5200000000002</v>
      </c>
      <c r="Z125" s="5">
        <v>1924.03</v>
      </c>
      <c r="AA125" s="6">
        <f>TravelExpenseTable[[#This Row],[Budget_USD]]-TravelExpenseTable[[#This Row],[Total_Actual_USD]]</f>
        <v>17.509999999999764</v>
      </c>
      <c r="AB125" s="13">
        <f>TravelExpenseTable[[#This Row],[Budget_Variance_USD]]/TravelExpenseTable[[#This Row],[Budget_USD]]</f>
        <v>9.100689698185456E-3</v>
      </c>
      <c r="AC125" s="6" t="str">
        <f t="shared" si="13"/>
        <v>Within Budget</v>
      </c>
      <c r="AD125" s="41" t="s">
        <v>51</v>
      </c>
      <c r="AE125" s="41" t="s">
        <v>50</v>
      </c>
      <c r="AF125" s="41" t="s">
        <v>52</v>
      </c>
      <c r="AG125" s="41" t="s">
        <v>53</v>
      </c>
      <c r="AH125" s="41"/>
    </row>
    <row r="126" spans="1:34">
      <c r="A126" s="55" t="s">
        <v>271</v>
      </c>
      <c r="B126" s="55" t="s">
        <v>162</v>
      </c>
      <c r="C126" s="55" t="s">
        <v>95</v>
      </c>
      <c r="D126" s="55" t="s">
        <v>86</v>
      </c>
      <c r="E126" s="55" t="s">
        <v>43</v>
      </c>
      <c r="F126" s="55" t="s">
        <v>182</v>
      </c>
      <c r="G126" s="55" t="s">
        <v>45</v>
      </c>
      <c r="H126" s="55" t="s">
        <v>97</v>
      </c>
      <c r="I126" s="55" t="s">
        <v>60</v>
      </c>
      <c r="J126" s="56">
        <v>46135</v>
      </c>
      <c r="K126" s="56">
        <v>46149</v>
      </c>
      <c r="L126" s="56">
        <v>46152</v>
      </c>
      <c r="M126" s="57">
        <f t="shared" si="7"/>
        <v>46143</v>
      </c>
      <c r="N126" s="57" t="str">
        <f t="shared" si="11"/>
        <v>May</v>
      </c>
      <c r="O126" s="58">
        <f t="shared" si="12"/>
        <v>5</v>
      </c>
      <c r="P126" s="58">
        <f>TravelExpenseTable[[#This Row],[Departure_Date]]-TravelExpenseTable[[#This Row],[Booking_Date]]</f>
        <v>14</v>
      </c>
      <c r="Q126" s="58">
        <f>TravelExpenseTable[[#This Row],[Return_Date]]-TravelExpenseTable[[#This Row],[Departure_Date]]</f>
        <v>3</v>
      </c>
      <c r="R126" s="55" t="s">
        <v>121</v>
      </c>
      <c r="S126" s="55" t="s">
        <v>113</v>
      </c>
      <c r="T126" s="59">
        <v>570.75</v>
      </c>
      <c r="U126" s="59">
        <v>884.53</v>
      </c>
      <c r="V126" s="59">
        <v>181.85</v>
      </c>
      <c r="W126" s="59">
        <v>223.66</v>
      </c>
      <c r="X126" s="59">
        <v>50.45</v>
      </c>
      <c r="Y126" s="60">
        <f>SUM(TravelExpenseTable[[#This Row],[Airfare_USD]],,,TravelExpenseTable[[#This Row],[Hotel_USD]],TravelExpenseTable[[#This Row],[Ground_Transport_USD]],TravelExpenseTable[[#This Row],[Meals_USD]],TravelExpenseTable[[#This Row],[Other_Expenses_USD]])</f>
        <v>1911.24</v>
      </c>
      <c r="Z126" s="59">
        <v>2132.4899999999998</v>
      </c>
      <c r="AA126" s="60">
        <f>TravelExpenseTable[[#This Row],[Budget_USD]]-TravelExpenseTable[[#This Row],[Total_Actual_USD]]</f>
        <v>221.24999999999977</v>
      </c>
      <c r="AB126" s="61">
        <f>TravelExpenseTable[[#This Row],[Budget_Variance_USD]]/TravelExpenseTable[[#This Row],[Budget_USD]]</f>
        <v>0.10375195194350258</v>
      </c>
      <c r="AC126" s="60" t="str">
        <f t="shared" si="13"/>
        <v>Within Budget</v>
      </c>
      <c r="AD126" s="55" t="s">
        <v>50</v>
      </c>
      <c r="AE126" s="55" t="s">
        <v>92</v>
      </c>
      <c r="AF126" s="55" t="s">
        <v>53</v>
      </c>
      <c r="AG126" s="55" t="s">
        <v>52</v>
      </c>
      <c r="AH126" s="55" t="s">
        <v>63</v>
      </c>
    </row>
    <row r="127" spans="1:34">
      <c r="A127" s="41" t="s">
        <v>272</v>
      </c>
      <c r="B127" s="41" t="s">
        <v>100</v>
      </c>
      <c r="C127" s="41" t="s">
        <v>41</v>
      </c>
      <c r="D127" s="41" t="s">
        <v>57</v>
      </c>
      <c r="E127" s="41" t="s">
        <v>43</v>
      </c>
      <c r="F127" s="41" t="s">
        <v>96</v>
      </c>
      <c r="G127" s="41" t="s">
        <v>45</v>
      </c>
      <c r="H127" s="41" t="s">
        <v>46</v>
      </c>
      <c r="I127" s="41" t="s">
        <v>60</v>
      </c>
      <c r="J127" s="4">
        <v>46114</v>
      </c>
      <c r="K127" s="4">
        <v>46145</v>
      </c>
      <c r="L127" s="4">
        <v>46147</v>
      </c>
      <c r="M127" s="17">
        <f t="shared" si="7"/>
        <v>46143</v>
      </c>
      <c r="N127" s="17" t="str">
        <f t="shared" si="11"/>
        <v>May</v>
      </c>
      <c r="O127" s="10">
        <f t="shared" si="12"/>
        <v>5</v>
      </c>
      <c r="P127" s="10">
        <f>TravelExpenseTable[[#This Row],[Departure_Date]]-TravelExpenseTable[[#This Row],[Booking_Date]]</f>
        <v>31</v>
      </c>
      <c r="Q127" s="10">
        <f>TravelExpenseTable[[#This Row],[Return_Date]]-TravelExpenseTable[[#This Row],[Departure_Date]]</f>
        <v>2</v>
      </c>
      <c r="R127" s="41" t="s">
        <v>102</v>
      </c>
      <c r="S127" s="41" t="s">
        <v>49</v>
      </c>
      <c r="T127" s="5">
        <v>254.69</v>
      </c>
      <c r="U127" s="5">
        <v>541.07000000000005</v>
      </c>
      <c r="V127" s="5">
        <v>71.98</v>
      </c>
      <c r="W127" s="5">
        <v>160.78</v>
      </c>
      <c r="X127" s="5">
        <v>67.86</v>
      </c>
      <c r="Y127" s="6">
        <f>SUM(TravelExpenseTable[[#This Row],[Airfare_USD]],,,TravelExpenseTable[[#This Row],[Hotel_USD]],TravelExpenseTable[[#This Row],[Ground_Transport_USD]],TravelExpenseTable[[#This Row],[Meals_USD]],TravelExpenseTable[[#This Row],[Other_Expenses_USD]])</f>
        <v>1096.3799999999999</v>
      </c>
      <c r="Z127" s="5">
        <v>1112.52</v>
      </c>
      <c r="AA127" s="6">
        <f>TravelExpenseTable[[#This Row],[Budget_USD]]-TravelExpenseTable[[#This Row],[Total_Actual_USD]]</f>
        <v>16.1400000000001</v>
      </c>
      <c r="AB127" s="13">
        <f>TravelExpenseTable[[#This Row],[Budget_Variance_USD]]/TravelExpenseTable[[#This Row],[Budget_USD]]</f>
        <v>1.4507604357674559E-2</v>
      </c>
      <c r="AC127" s="6" t="str">
        <f t="shared" si="13"/>
        <v>Within Budget</v>
      </c>
      <c r="AD127" s="41" t="s">
        <v>51</v>
      </c>
      <c r="AE127" s="41" t="s">
        <v>83</v>
      </c>
      <c r="AF127" s="41" t="s">
        <v>52</v>
      </c>
      <c r="AG127" s="41" t="s">
        <v>53</v>
      </c>
      <c r="AH127" s="41"/>
    </row>
    <row r="128" spans="1:34">
      <c r="A128" s="55" t="s">
        <v>273</v>
      </c>
      <c r="B128" s="55" t="s">
        <v>94</v>
      </c>
      <c r="C128" s="55" t="s">
        <v>95</v>
      </c>
      <c r="D128" s="55" t="s">
        <v>57</v>
      </c>
      <c r="E128" s="55" t="s">
        <v>43</v>
      </c>
      <c r="F128" s="55" t="s">
        <v>159</v>
      </c>
      <c r="G128" s="55" t="s">
        <v>59</v>
      </c>
      <c r="H128" s="55" t="s">
        <v>126</v>
      </c>
      <c r="I128" s="55" t="s">
        <v>81</v>
      </c>
      <c r="J128" s="56">
        <v>46129</v>
      </c>
      <c r="K128" s="56">
        <v>46134</v>
      </c>
      <c r="L128" s="56">
        <v>46141</v>
      </c>
      <c r="M128" s="57">
        <f t="shared" si="7"/>
        <v>46113</v>
      </c>
      <c r="N128" s="57" t="str">
        <f t="shared" si="11"/>
        <v>Apr</v>
      </c>
      <c r="O128" s="58">
        <f t="shared" si="12"/>
        <v>4</v>
      </c>
      <c r="P128" s="58">
        <f>TravelExpenseTable[[#This Row],[Departure_Date]]-TravelExpenseTable[[#This Row],[Booking_Date]]</f>
        <v>5</v>
      </c>
      <c r="Q128" s="58">
        <f>TravelExpenseTable[[#This Row],[Return_Date]]-TravelExpenseTable[[#This Row],[Departure_Date]]</f>
        <v>7</v>
      </c>
      <c r="R128" s="55" t="s">
        <v>188</v>
      </c>
      <c r="S128" s="55" t="s">
        <v>82</v>
      </c>
      <c r="T128" s="59">
        <v>1329.36</v>
      </c>
      <c r="U128" s="59">
        <v>1551.23</v>
      </c>
      <c r="V128" s="59">
        <v>223.17</v>
      </c>
      <c r="W128" s="59">
        <v>621.54999999999995</v>
      </c>
      <c r="X128" s="59">
        <v>116.11</v>
      </c>
      <c r="Y128" s="60">
        <f>SUM(TravelExpenseTable[[#This Row],[Airfare_USD]],,,TravelExpenseTable[[#This Row],[Hotel_USD]],TravelExpenseTable[[#This Row],[Ground_Transport_USD]],TravelExpenseTable[[#This Row],[Meals_USD]],TravelExpenseTable[[#This Row],[Other_Expenses_USD]])</f>
        <v>3841.4200000000005</v>
      </c>
      <c r="Z128" s="59">
        <v>4125.7700000000004</v>
      </c>
      <c r="AA128" s="60">
        <f>TravelExpenseTable[[#This Row],[Budget_USD]]-TravelExpenseTable[[#This Row],[Total_Actual_USD]]</f>
        <v>284.34999999999991</v>
      </c>
      <c r="AB128" s="61">
        <f>TravelExpenseTable[[#This Row],[Budget_Variance_USD]]/TravelExpenseTable[[#This Row],[Budget_USD]]</f>
        <v>6.8920468179273178E-2</v>
      </c>
      <c r="AC128" s="60" t="str">
        <f t="shared" si="13"/>
        <v>Within Budget</v>
      </c>
      <c r="AD128" s="55" t="s">
        <v>50</v>
      </c>
      <c r="AE128" s="55" t="s">
        <v>83</v>
      </c>
      <c r="AF128" s="55" t="s">
        <v>52</v>
      </c>
      <c r="AG128" s="55" t="s">
        <v>52</v>
      </c>
      <c r="AH128" s="55" t="s">
        <v>150</v>
      </c>
    </row>
    <row r="129" spans="1:34">
      <c r="A129" s="55" t="s">
        <v>274</v>
      </c>
      <c r="B129" s="55" t="s">
        <v>65</v>
      </c>
      <c r="C129" s="55" t="s">
        <v>66</v>
      </c>
      <c r="D129" s="55" t="s">
        <v>67</v>
      </c>
      <c r="E129" s="55" t="s">
        <v>43</v>
      </c>
      <c r="F129" s="55" t="s">
        <v>159</v>
      </c>
      <c r="G129" s="55" t="s">
        <v>59</v>
      </c>
      <c r="H129" s="55" t="s">
        <v>69</v>
      </c>
      <c r="I129" s="55" t="s">
        <v>81</v>
      </c>
      <c r="J129" s="56">
        <v>46130</v>
      </c>
      <c r="K129" s="56">
        <v>46169</v>
      </c>
      <c r="L129" s="56">
        <v>46176</v>
      </c>
      <c r="M129" s="57">
        <f t="shared" si="7"/>
        <v>46143</v>
      </c>
      <c r="N129" s="57" t="str">
        <f t="shared" si="11"/>
        <v>May</v>
      </c>
      <c r="O129" s="58">
        <f t="shared" si="12"/>
        <v>5</v>
      </c>
      <c r="P129" s="58">
        <f>TravelExpenseTable[[#This Row],[Departure_Date]]-TravelExpenseTable[[#This Row],[Booking_Date]]</f>
        <v>39</v>
      </c>
      <c r="Q129" s="58">
        <f>TravelExpenseTable[[#This Row],[Return_Date]]-TravelExpenseTable[[#This Row],[Departure_Date]]</f>
        <v>7</v>
      </c>
      <c r="R129" s="55" t="s">
        <v>144</v>
      </c>
      <c r="S129" s="55" t="s">
        <v>71</v>
      </c>
      <c r="T129" s="59">
        <v>1408.35</v>
      </c>
      <c r="U129" s="59">
        <v>1995.62</v>
      </c>
      <c r="V129" s="59">
        <v>156.24</v>
      </c>
      <c r="W129" s="59">
        <v>395.32</v>
      </c>
      <c r="X129" s="59">
        <v>18.82</v>
      </c>
      <c r="Y129" s="60">
        <f>SUM(TravelExpenseTable[[#This Row],[Airfare_USD]],,,TravelExpenseTable[[#This Row],[Hotel_USD]],TravelExpenseTable[[#This Row],[Ground_Transport_USD]],TravelExpenseTable[[#This Row],[Meals_USD]],TravelExpenseTable[[#This Row],[Other_Expenses_USD]])</f>
        <v>3974.3500000000004</v>
      </c>
      <c r="Z129" s="59">
        <v>3993.4</v>
      </c>
      <c r="AA129" s="60">
        <f>TravelExpenseTable[[#This Row],[Budget_USD]]-TravelExpenseTable[[#This Row],[Total_Actual_USD]]</f>
        <v>19.049999999999727</v>
      </c>
      <c r="AB129" s="61">
        <f>TravelExpenseTable[[#This Row],[Budget_Variance_USD]]/TravelExpenseTable[[#This Row],[Budget_USD]]</f>
        <v>4.770371112335285E-3</v>
      </c>
      <c r="AC129" s="60" t="str">
        <f t="shared" si="13"/>
        <v>Within Budget</v>
      </c>
      <c r="AD129" s="55" t="s">
        <v>50</v>
      </c>
      <c r="AE129" s="55" t="s">
        <v>92</v>
      </c>
      <c r="AF129" s="55" t="s">
        <v>53</v>
      </c>
      <c r="AG129" s="55" t="s">
        <v>52</v>
      </c>
      <c r="AH129" s="55" t="s">
        <v>63</v>
      </c>
    </row>
    <row r="130" spans="1:34">
      <c r="A130" s="41" t="s">
        <v>275</v>
      </c>
      <c r="B130" s="41" t="s">
        <v>106</v>
      </c>
      <c r="C130" s="41" t="s">
        <v>41</v>
      </c>
      <c r="D130" s="41" t="s">
        <v>107</v>
      </c>
      <c r="E130" s="41" t="s">
        <v>43</v>
      </c>
      <c r="F130" s="41" t="s">
        <v>133</v>
      </c>
      <c r="G130" s="41" t="s">
        <v>45</v>
      </c>
      <c r="H130" s="41" t="s">
        <v>108</v>
      </c>
      <c r="I130" s="41" t="s">
        <v>81</v>
      </c>
      <c r="J130" s="4">
        <v>46107</v>
      </c>
      <c r="K130" s="4">
        <v>46143</v>
      </c>
      <c r="L130" s="4">
        <v>46145</v>
      </c>
      <c r="M130" s="17">
        <f t="shared" ref="M130:M161" si="14">DATE(YEAR(K130),MONTH(K130),1)</f>
        <v>46143</v>
      </c>
      <c r="N130" s="17" t="str">
        <f t="shared" ref="N130:N161" si="15">TEXT(K130,"mmm")</f>
        <v>May</v>
      </c>
      <c r="O130" s="10">
        <f t="shared" ref="O130:O161" si="16">MONTH(K130)</f>
        <v>5</v>
      </c>
      <c r="P130" s="10">
        <f>TravelExpenseTable[[#This Row],[Departure_Date]]-TravelExpenseTable[[#This Row],[Booking_Date]]</f>
        <v>36</v>
      </c>
      <c r="Q130" s="10">
        <f>TravelExpenseTable[[#This Row],[Return_Date]]-TravelExpenseTable[[#This Row],[Departure_Date]]</f>
        <v>2</v>
      </c>
      <c r="R130" s="41" t="s">
        <v>121</v>
      </c>
      <c r="S130" s="41" t="s">
        <v>77</v>
      </c>
      <c r="T130" s="5">
        <v>556.42999999999995</v>
      </c>
      <c r="U130" s="5">
        <v>301.5</v>
      </c>
      <c r="V130" s="5">
        <v>52.82</v>
      </c>
      <c r="W130" s="5">
        <v>195.29</v>
      </c>
      <c r="X130" s="5">
        <v>4.07</v>
      </c>
      <c r="Y130" s="6">
        <f>SUM(TravelExpenseTable[[#This Row],[Airfare_USD]],,,TravelExpenseTable[[#This Row],[Hotel_USD]],TravelExpenseTable[[#This Row],[Ground_Transport_USD]],TravelExpenseTable[[#This Row],[Meals_USD]],TravelExpenseTable[[#This Row],[Other_Expenses_USD]])</f>
        <v>1110.1099999999999</v>
      </c>
      <c r="Z130" s="5">
        <v>1091.1500000000001</v>
      </c>
      <c r="AA130" s="6">
        <f>TravelExpenseTable[[#This Row],[Budget_USD]]-TravelExpenseTable[[#This Row],[Total_Actual_USD]]</f>
        <v>-18.959999999999809</v>
      </c>
      <c r="AB130" s="13">
        <f>TravelExpenseTable[[#This Row],[Budget_Variance_USD]]/TravelExpenseTable[[#This Row],[Budget_USD]]</f>
        <v>-1.7376162764056093E-2</v>
      </c>
      <c r="AC130" s="6" t="str">
        <f t="shared" ref="AC130:AC161" si="17">IF(AA130&gt;=0,"Within Budget","Over Budget")</f>
        <v>Over Budget</v>
      </c>
      <c r="AD130" s="41" t="s">
        <v>50</v>
      </c>
      <c r="AE130" s="41" t="s">
        <v>51</v>
      </c>
      <c r="AF130" s="41" t="s">
        <v>52</v>
      </c>
      <c r="AG130" s="41" t="s">
        <v>53</v>
      </c>
      <c r="AH130" s="41"/>
    </row>
    <row r="131" spans="1:34">
      <c r="A131" s="55" t="s">
        <v>276</v>
      </c>
      <c r="B131" s="55" t="s">
        <v>85</v>
      </c>
      <c r="C131" s="55" t="s">
        <v>41</v>
      </c>
      <c r="D131" s="55" t="s">
        <v>86</v>
      </c>
      <c r="E131" s="55" t="s">
        <v>43</v>
      </c>
      <c r="F131" s="55" t="s">
        <v>159</v>
      </c>
      <c r="G131" s="55" t="s">
        <v>59</v>
      </c>
      <c r="H131" s="55" t="s">
        <v>126</v>
      </c>
      <c r="I131" s="55" t="s">
        <v>76</v>
      </c>
      <c r="J131" s="56">
        <v>46058</v>
      </c>
      <c r="K131" s="56">
        <v>46071</v>
      </c>
      <c r="L131" s="56">
        <v>46078</v>
      </c>
      <c r="M131" s="57">
        <f t="shared" si="14"/>
        <v>46054</v>
      </c>
      <c r="N131" s="57" t="str">
        <f t="shared" si="15"/>
        <v>Feb</v>
      </c>
      <c r="O131" s="58">
        <f t="shared" si="16"/>
        <v>2</v>
      </c>
      <c r="P131" s="58">
        <f>TravelExpenseTable[[#This Row],[Departure_Date]]-TravelExpenseTable[[#This Row],[Booking_Date]]</f>
        <v>13</v>
      </c>
      <c r="Q131" s="58">
        <f>TravelExpenseTable[[#This Row],[Return_Date]]-TravelExpenseTable[[#This Row],[Departure_Date]]</f>
        <v>7</v>
      </c>
      <c r="R131" s="55" t="s">
        <v>61</v>
      </c>
      <c r="S131" s="55" t="s">
        <v>49</v>
      </c>
      <c r="T131" s="59">
        <v>955.04</v>
      </c>
      <c r="U131" s="59">
        <v>1868.71</v>
      </c>
      <c r="V131" s="59">
        <v>116.11</v>
      </c>
      <c r="W131" s="59">
        <v>654</v>
      </c>
      <c r="X131" s="59">
        <v>77.78</v>
      </c>
      <c r="Y131" s="60">
        <f>SUM(TravelExpenseTable[[#This Row],[Airfare_USD]],,,TravelExpenseTable[[#This Row],[Hotel_USD]],TravelExpenseTable[[#This Row],[Ground_Transport_USD]],TravelExpenseTable[[#This Row],[Meals_USD]],TravelExpenseTable[[#This Row],[Other_Expenses_USD]])</f>
        <v>3671.6400000000003</v>
      </c>
      <c r="Z131" s="59">
        <v>3263.2</v>
      </c>
      <c r="AA131" s="60">
        <f>TravelExpenseTable[[#This Row],[Budget_USD]]-TravelExpenseTable[[#This Row],[Total_Actual_USD]]</f>
        <v>-408.44000000000051</v>
      </c>
      <c r="AB131" s="61">
        <f>TravelExpenseTable[[#This Row],[Budget_Variance_USD]]/TravelExpenseTable[[#This Row],[Budget_USD]]</f>
        <v>-0.1251654817357197</v>
      </c>
      <c r="AC131" s="60" t="str">
        <f t="shared" si="17"/>
        <v>Over Budget</v>
      </c>
      <c r="AD131" s="55" t="s">
        <v>51</v>
      </c>
      <c r="AE131" s="55" t="s">
        <v>50</v>
      </c>
      <c r="AF131" s="55" t="s">
        <v>52</v>
      </c>
      <c r="AG131" s="55" t="s">
        <v>52</v>
      </c>
      <c r="AH131" s="55" t="s">
        <v>117</v>
      </c>
    </row>
    <row r="132" spans="1:34">
      <c r="A132" s="41" t="s">
        <v>277</v>
      </c>
      <c r="B132" s="41" t="s">
        <v>262</v>
      </c>
      <c r="C132" s="41" t="s">
        <v>95</v>
      </c>
      <c r="D132" s="41" t="s">
        <v>86</v>
      </c>
      <c r="E132" s="41" t="s">
        <v>43</v>
      </c>
      <c r="F132" s="41" t="s">
        <v>182</v>
      </c>
      <c r="G132" s="41" t="s">
        <v>45</v>
      </c>
      <c r="H132" s="41" t="s">
        <v>112</v>
      </c>
      <c r="I132" s="41" t="s">
        <v>81</v>
      </c>
      <c r="J132" s="4">
        <v>46059</v>
      </c>
      <c r="K132" s="4">
        <v>46098</v>
      </c>
      <c r="L132" s="4">
        <v>46099</v>
      </c>
      <c r="M132" s="17">
        <f t="shared" si="14"/>
        <v>46082</v>
      </c>
      <c r="N132" s="17" t="str">
        <f t="shared" si="15"/>
        <v>Mar</v>
      </c>
      <c r="O132" s="10">
        <f t="shared" si="16"/>
        <v>3</v>
      </c>
      <c r="P132" s="10">
        <f>TravelExpenseTable[[#This Row],[Departure_Date]]-TravelExpenseTable[[#This Row],[Booking_Date]]</f>
        <v>39</v>
      </c>
      <c r="Q132" s="10">
        <f>TravelExpenseTable[[#This Row],[Return_Date]]-TravelExpenseTable[[#This Row],[Departure_Date]]</f>
        <v>1</v>
      </c>
      <c r="R132" s="41" t="s">
        <v>48</v>
      </c>
      <c r="S132" s="41" t="s">
        <v>138</v>
      </c>
      <c r="T132" s="5">
        <v>277.66000000000003</v>
      </c>
      <c r="U132" s="5">
        <v>247.31</v>
      </c>
      <c r="V132" s="5">
        <v>130.66</v>
      </c>
      <c r="W132" s="5">
        <v>112.95</v>
      </c>
      <c r="X132" s="5">
        <v>56.41</v>
      </c>
      <c r="Y132" s="6">
        <f>SUM(TravelExpenseTable[[#This Row],[Airfare_USD]],,,TravelExpenseTable[[#This Row],[Hotel_USD]],TravelExpenseTable[[#This Row],[Ground_Transport_USD]],TravelExpenseTable[[#This Row],[Meals_USD]],TravelExpenseTable[[#This Row],[Other_Expenses_USD]])</f>
        <v>824.99</v>
      </c>
      <c r="Z132" s="5">
        <v>822.18</v>
      </c>
      <c r="AA132" s="6">
        <f>TravelExpenseTable[[#This Row],[Budget_USD]]-TravelExpenseTable[[#This Row],[Total_Actual_USD]]</f>
        <v>-2.8100000000000591</v>
      </c>
      <c r="AB132" s="13">
        <f>TravelExpenseTable[[#This Row],[Budget_Variance_USD]]/TravelExpenseTable[[#This Row],[Budget_USD]]</f>
        <v>-3.4177430732930249E-3</v>
      </c>
      <c r="AC132" s="6" t="str">
        <f t="shared" si="17"/>
        <v>Over Budget</v>
      </c>
      <c r="AD132" s="41" t="s">
        <v>50</v>
      </c>
      <c r="AE132" s="41" t="s">
        <v>50</v>
      </c>
      <c r="AF132" s="41" t="s">
        <v>52</v>
      </c>
      <c r="AG132" s="41" t="s">
        <v>53</v>
      </c>
      <c r="AH132" s="41"/>
    </row>
    <row r="133" spans="1:34">
      <c r="A133" s="41" t="s">
        <v>278</v>
      </c>
      <c r="B133" s="41" t="s">
        <v>196</v>
      </c>
      <c r="C133" s="41" t="s">
        <v>41</v>
      </c>
      <c r="D133" s="41" t="s">
        <v>111</v>
      </c>
      <c r="E133" s="41" t="s">
        <v>43</v>
      </c>
      <c r="F133" s="41" t="s">
        <v>80</v>
      </c>
      <c r="G133" s="41" t="s">
        <v>59</v>
      </c>
      <c r="H133" s="41" t="s">
        <v>112</v>
      </c>
      <c r="I133" s="41" t="s">
        <v>81</v>
      </c>
      <c r="J133" s="4">
        <v>46163</v>
      </c>
      <c r="K133" s="4">
        <v>46185</v>
      </c>
      <c r="L133" s="4">
        <v>46189</v>
      </c>
      <c r="M133" s="17">
        <f t="shared" si="14"/>
        <v>46174</v>
      </c>
      <c r="N133" s="17" t="str">
        <f t="shared" si="15"/>
        <v>Jun</v>
      </c>
      <c r="O133" s="10">
        <f t="shared" si="16"/>
        <v>6</v>
      </c>
      <c r="P133" s="10">
        <f>TravelExpenseTable[[#This Row],[Departure_Date]]-TravelExpenseTable[[#This Row],[Booking_Date]]</f>
        <v>22</v>
      </c>
      <c r="Q133" s="10">
        <f>TravelExpenseTable[[#This Row],[Return_Date]]-TravelExpenseTable[[#This Row],[Departure_Date]]</f>
        <v>4</v>
      </c>
      <c r="R133" s="41" t="s">
        <v>188</v>
      </c>
      <c r="S133" s="41" t="s">
        <v>138</v>
      </c>
      <c r="T133" s="5">
        <v>962.43</v>
      </c>
      <c r="U133" s="5">
        <v>848.88</v>
      </c>
      <c r="V133" s="5">
        <v>163.33000000000001</v>
      </c>
      <c r="W133" s="5">
        <v>253.93</v>
      </c>
      <c r="X133" s="5">
        <v>69.92</v>
      </c>
      <c r="Y133" s="6">
        <f>SUM(TravelExpenseTable[[#This Row],[Airfare_USD]],,,TravelExpenseTable[[#This Row],[Hotel_USD]],TravelExpenseTable[[#This Row],[Ground_Transport_USD]],TravelExpenseTable[[#This Row],[Meals_USD]],TravelExpenseTable[[#This Row],[Other_Expenses_USD]])</f>
        <v>2298.4899999999998</v>
      </c>
      <c r="Z133" s="5">
        <v>2433.9299999999998</v>
      </c>
      <c r="AA133" s="6">
        <f>TravelExpenseTable[[#This Row],[Budget_USD]]-TravelExpenseTable[[#This Row],[Total_Actual_USD]]</f>
        <v>135.44000000000005</v>
      </c>
      <c r="AB133" s="13">
        <f>TravelExpenseTable[[#This Row],[Budget_Variance_USD]]/TravelExpenseTable[[#This Row],[Budget_USD]]</f>
        <v>5.5646629114230919E-2</v>
      </c>
      <c r="AC133" s="6" t="str">
        <f t="shared" si="17"/>
        <v>Within Budget</v>
      </c>
      <c r="AD133" s="41" t="s">
        <v>51</v>
      </c>
      <c r="AE133" s="41" t="s">
        <v>83</v>
      </c>
      <c r="AF133" s="41" t="s">
        <v>52</v>
      </c>
      <c r="AG133" s="41" t="s">
        <v>53</v>
      </c>
      <c r="AH133" s="41"/>
    </row>
    <row r="134" spans="1:34">
      <c r="A134" s="41" t="s">
        <v>279</v>
      </c>
      <c r="B134" s="41" t="s">
        <v>140</v>
      </c>
      <c r="C134" s="41" t="s">
        <v>95</v>
      </c>
      <c r="D134" s="41" t="s">
        <v>111</v>
      </c>
      <c r="E134" s="41" t="s">
        <v>43</v>
      </c>
      <c r="F134" s="41" t="s">
        <v>120</v>
      </c>
      <c r="G134" s="41" t="s">
        <v>59</v>
      </c>
      <c r="H134" s="41" t="s">
        <v>75</v>
      </c>
      <c r="I134" s="41" t="s">
        <v>81</v>
      </c>
      <c r="J134" s="4">
        <v>46154</v>
      </c>
      <c r="K134" s="4">
        <v>46192</v>
      </c>
      <c r="L134" s="4">
        <v>46196</v>
      </c>
      <c r="M134" s="17">
        <f t="shared" si="14"/>
        <v>46174</v>
      </c>
      <c r="N134" s="17" t="str">
        <f t="shared" si="15"/>
        <v>Jun</v>
      </c>
      <c r="O134" s="10">
        <f t="shared" si="16"/>
        <v>6</v>
      </c>
      <c r="P134" s="10">
        <f>TravelExpenseTable[[#This Row],[Departure_Date]]-TravelExpenseTable[[#This Row],[Booking_Date]]</f>
        <v>38</v>
      </c>
      <c r="Q134" s="10">
        <f>TravelExpenseTable[[#This Row],[Return_Date]]-TravelExpenseTable[[#This Row],[Departure_Date]]</f>
        <v>4</v>
      </c>
      <c r="R134" s="41" t="s">
        <v>144</v>
      </c>
      <c r="S134" s="41" t="s">
        <v>113</v>
      </c>
      <c r="T134" s="5">
        <v>936.31</v>
      </c>
      <c r="U134" s="5">
        <v>800.74</v>
      </c>
      <c r="V134" s="5">
        <v>159.76</v>
      </c>
      <c r="W134" s="5">
        <v>222.3</v>
      </c>
      <c r="X134" s="5">
        <v>24.58</v>
      </c>
      <c r="Y134" s="6">
        <f>SUM(TravelExpenseTable[[#This Row],[Airfare_USD]],,,TravelExpenseTable[[#This Row],[Hotel_USD]],TravelExpenseTable[[#This Row],[Ground_Transport_USD]],TravelExpenseTable[[#This Row],[Meals_USD]],TravelExpenseTable[[#This Row],[Other_Expenses_USD]])</f>
        <v>2143.69</v>
      </c>
      <c r="Z134" s="5">
        <v>2410.7199999999998</v>
      </c>
      <c r="AA134" s="6">
        <f>TravelExpenseTable[[#This Row],[Budget_USD]]-TravelExpenseTable[[#This Row],[Total_Actual_USD]]</f>
        <v>267.02999999999975</v>
      </c>
      <c r="AB134" s="13">
        <f>TravelExpenseTable[[#This Row],[Budget_Variance_USD]]/TravelExpenseTable[[#This Row],[Budget_USD]]</f>
        <v>0.11076773743943709</v>
      </c>
      <c r="AC134" s="6" t="str">
        <f t="shared" si="17"/>
        <v>Within Budget</v>
      </c>
      <c r="AD134" s="41" t="s">
        <v>51</v>
      </c>
      <c r="AE134" s="41" t="s">
        <v>50</v>
      </c>
      <c r="AF134" s="41" t="s">
        <v>52</v>
      </c>
      <c r="AG134" s="41" t="s">
        <v>53</v>
      </c>
      <c r="AH134" s="41"/>
    </row>
    <row r="135" spans="1:34">
      <c r="A135" s="41" t="s">
        <v>280</v>
      </c>
      <c r="B135" s="41" t="s">
        <v>149</v>
      </c>
      <c r="C135" s="41" t="s">
        <v>95</v>
      </c>
      <c r="D135" s="41" t="s">
        <v>86</v>
      </c>
      <c r="E135" s="41" t="s">
        <v>43</v>
      </c>
      <c r="F135" s="41" t="s">
        <v>101</v>
      </c>
      <c r="G135" s="41" t="s">
        <v>59</v>
      </c>
      <c r="H135" s="41" t="s">
        <v>75</v>
      </c>
      <c r="I135" s="41" t="s">
        <v>47</v>
      </c>
      <c r="J135" s="4">
        <v>46099</v>
      </c>
      <c r="K135" s="4">
        <v>46133</v>
      </c>
      <c r="L135" s="4">
        <v>46139</v>
      </c>
      <c r="M135" s="17">
        <f t="shared" si="14"/>
        <v>46113</v>
      </c>
      <c r="N135" s="17" t="str">
        <f t="shared" si="15"/>
        <v>Apr</v>
      </c>
      <c r="O135" s="10">
        <f t="shared" si="16"/>
        <v>4</v>
      </c>
      <c r="P135" s="10">
        <f>TravelExpenseTable[[#This Row],[Departure_Date]]-TravelExpenseTable[[#This Row],[Booking_Date]]</f>
        <v>34</v>
      </c>
      <c r="Q135" s="10">
        <f>TravelExpenseTable[[#This Row],[Return_Date]]-TravelExpenseTable[[#This Row],[Departure_Date]]</f>
        <v>6</v>
      </c>
      <c r="R135" s="41" t="s">
        <v>102</v>
      </c>
      <c r="S135" s="41" t="s">
        <v>62</v>
      </c>
      <c r="T135" s="5">
        <v>804.28</v>
      </c>
      <c r="U135" s="5">
        <v>1396.32</v>
      </c>
      <c r="V135" s="5">
        <v>142.16999999999999</v>
      </c>
      <c r="W135" s="5">
        <v>611.07000000000005</v>
      </c>
      <c r="X135" s="5">
        <v>101.82</v>
      </c>
      <c r="Y135" s="6">
        <f>SUM(TravelExpenseTable[[#This Row],[Airfare_USD]],,,TravelExpenseTable[[#This Row],[Hotel_USD]],TravelExpenseTable[[#This Row],[Ground_Transport_USD]],TravelExpenseTable[[#This Row],[Meals_USD]],TravelExpenseTable[[#This Row],[Other_Expenses_USD]])</f>
        <v>3055.6600000000003</v>
      </c>
      <c r="Z135" s="5">
        <v>3397.17</v>
      </c>
      <c r="AA135" s="6">
        <f>TravelExpenseTable[[#This Row],[Budget_USD]]-TravelExpenseTable[[#This Row],[Total_Actual_USD]]</f>
        <v>341.50999999999976</v>
      </c>
      <c r="AB135" s="13">
        <f>TravelExpenseTable[[#This Row],[Budget_Variance_USD]]/TravelExpenseTable[[#This Row],[Budget_USD]]</f>
        <v>0.10052779225060852</v>
      </c>
      <c r="AC135" s="6" t="str">
        <f t="shared" si="17"/>
        <v>Within Budget</v>
      </c>
      <c r="AD135" s="41" t="s">
        <v>50</v>
      </c>
      <c r="AE135" s="41" t="s">
        <v>50</v>
      </c>
      <c r="AF135" s="41" t="s">
        <v>52</v>
      </c>
      <c r="AG135" s="41" t="s">
        <v>53</v>
      </c>
      <c r="AH135" s="41"/>
    </row>
    <row r="136" spans="1:34">
      <c r="A136" s="41" t="s">
        <v>281</v>
      </c>
      <c r="B136" s="41" t="s">
        <v>73</v>
      </c>
      <c r="C136" s="41" t="s">
        <v>66</v>
      </c>
      <c r="D136" s="41" t="s">
        <v>67</v>
      </c>
      <c r="E136" s="41" t="s">
        <v>43</v>
      </c>
      <c r="F136" s="41" t="s">
        <v>68</v>
      </c>
      <c r="G136" s="41" t="s">
        <v>45</v>
      </c>
      <c r="H136" s="41" t="s">
        <v>116</v>
      </c>
      <c r="I136" s="41" t="s">
        <v>76</v>
      </c>
      <c r="J136" s="4">
        <v>46058</v>
      </c>
      <c r="K136" s="4">
        <v>46095</v>
      </c>
      <c r="L136" s="4">
        <v>46098</v>
      </c>
      <c r="M136" s="17">
        <f t="shared" si="14"/>
        <v>46082</v>
      </c>
      <c r="N136" s="17" t="str">
        <f t="shared" si="15"/>
        <v>Mar</v>
      </c>
      <c r="O136" s="10">
        <f t="shared" si="16"/>
        <v>3</v>
      </c>
      <c r="P136" s="10">
        <f>TravelExpenseTable[[#This Row],[Departure_Date]]-TravelExpenseTable[[#This Row],[Booking_Date]]</f>
        <v>37</v>
      </c>
      <c r="Q136" s="10">
        <f>TravelExpenseTable[[#This Row],[Return_Date]]-TravelExpenseTable[[#This Row],[Departure_Date]]</f>
        <v>3</v>
      </c>
      <c r="R136" s="41" t="s">
        <v>98</v>
      </c>
      <c r="S136" s="41" t="s">
        <v>91</v>
      </c>
      <c r="T136" s="5">
        <v>459.13</v>
      </c>
      <c r="U136" s="5">
        <v>562.9</v>
      </c>
      <c r="V136" s="5">
        <v>219.88</v>
      </c>
      <c r="W136" s="5">
        <v>245.95</v>
      </c>
      <c r="X136" s="5">
        <v>62.74</v>
      </c>
      <c r="Y136" s="6">
        <f>SUM(TravelExpenseTable[[#This Row],[Airfare_USD]],,,TravelExpenseTable[[#This Row],[Hotel_USD]],TravelExpenseTable[[#This Row],[Ground_Transport_USD]],TravelExpenseTable[[#This Row],[Meals_USD]],TravelExpenseTable[[#This Row],[Other_Expenses_USD]])</f>
        <v>1550.6</v>
      </c>
      <c r="Z136" s="5">
        <v>1744.45</v>
      </c>
      <c r="AA136" s="6">
        <f>TravelExpenseTable[[#This Row],[Budget_USD]]-TravelExpenseTable[[#This Row],[Total_Actual_USD]]</f>
        <v>193.85000000000014</v>
      </c>
      <c r="AB136" s="13">
        <f>TravelExpenseTable[[#This Row],[Budget_Variance_USD]]/TravelExpenseTable[[#This Row],[Budget_USD]]</f>
        <v>0.11112384992404491</v>
      </c>
      <c r="AC136" s="6" t="str">
        <f t="shared" si="17"/>
        <v>Within Budget</v>
      </c>
      <c r="AD136" s="41" t="s">
        <v>50</v>
      </c>
      <c r="AE136" s="41" t="s">
        <v>92</v>
      </c>
      <c r="AF136" s="41" t="s">
        <v>52</v>
      </c>
      <c r="AG136" s="41" t="s">
        <v>53</v>
      </c>
      <c r="AH136" s="41"/>
    </row>
    <row r="137" spans="1:34">
      <c r="A137" s="41" t="s">
        <v>282</v>
      </c>
      <c r="B137" s="41" t="s">
        <v>85</v>
      </c>
      <c r="C137" s="41" t="s">
        <v>41</v>
      </c>
      <c r="D137" s="41" t="s">
        <v>86</v>
      </c>
      <c r="E137" s="41" t="s">
        <v>43</v>
      </c>
      <c r="F137" s="41" t="s">
        <v>182</v>
      </c>
      <c r="G137" s="41" t="s">
        <v>45</v>
      </c>
      <c r="H137" s="41" t="s">
        <v>97</v>
      </c>
      <c r="I137" s="41" t="s">
        <v>47</v>
      </c>
      <c r="J137" s="4">
        <v>46135</v>
      </c>
      <c r="K137" s="4">
        <v>46177</v>
      </c>
      <c r="L137" s="4">
        <v>46180</v>
      </c>
      <c r="M137" s="17">
        <f t="shared" si="14"/>
        <v>46174</v>
      </c>
      <c r="N137" s="17" t="str">
        <f t="shared" si="15"/>
        <v>Jun</v>
      </c>
      <c r="O137" s="10">
        <f t="shared" si="16"/>
        <v>6</v>
      </c>
      <c r="P137" s="10">
        <f>TravelExpenseTable[[#This Row],[Departure_Date]]-TravelExpenseTable[[#This Row],[Booking_Date]]</f>
        <v>42</v>
      </c>
      <c r="Q137" s="10">
        <f>TravelExpenseTable[[#This Row],[Return_Date]]-TravelExpenseTable[[#This Row],[Departure_Date]]</f>
        <v>3</v>
      </c>
      <c r="R137" s="41" t="s">
        <v>70</v>
      </c>
      <c r="S137" s="41" t="s">
        <v>138</v>
      </c>
      <c r="T137" s="5">
        <v>626.91999999999996</v>
      </c>
      <c r="U137" s="5">
        <v>693.64</v>
      </c>
      <c r="V137" s="5">
        <v>138.15</v>
      </c>
      <c r="W137" s="5">
        <v>272.43</v>
      </c>
      <c r="X137" s="5">
        <v>30.31</v>
      </c>
      <c r="Y137" s="6">
        <f>SUM(TravelExpenseTable[[#This Row],[Airfare_USD]],,,TravelExpenseTable[[#This Row],[Hotel_USD]],TravelExpenseTable[[#This Row],[Ground_Transport_USD]],TravelExpenseTable[[#This Row],[Meals_USD]],TravelExpenseTable[[#This Row],[Other_Expenses_USD]])</f>
        <v>1761.45</v>
      </c>
      <c r="Z137" s="5">
        <v>2067.41</v>
      </c>
      <c r="AA137" s="6">
        <f>TravelExpenseTable[[#This Row],[Budget_USD]]-TravelExpenseTable[[#This Row],[Total_Actual_USD]]</f>
        <v>305.95999999999981</v>
      </c>
      <c r="AB137" s="13">
        <f>TravelExpenseTable[[#This Row],[Budget_Variance_USD]]/TravelExpenseTable[[#This Row],[Budget_USD]]</f>
        <v>0.14799193193415908</v>
      </c>
      <c r="AC137" s="6" t="str">
        <f t="shared" si="17"/>
        <v>Within Budget</v>
      </c>
      <c r="AD137" s="41" t="s">
        <v>50</v>
      </c>
      <c r="AE137" s="41" t="s">
        <v>83</v>
      </c>
      <c r="AF137" s="41" t="s">
        <v>52</v>
      </c>
      <c r="AG137" s="41" t="s">
        <v>53</v>
      </c>
      <c r="AH137" s="41"/>
    </row>
    <row r="138" spans="1:34">
      <c r="A138" s="41" t="s">
        <v>283</v>
      </c>
      <c r="B138" s="41" t="s">
        <v>65</v>
      </c>
      <c r="C138" s="41" t="s">
        <v>66</v>
      </c>
      <c r="D138" s="41" t="s">
        <v>67</v>
      </c>
      <c r="E138" s="41" t="s">
        <v>43</v>
      </c>
      <c r="F138" s="41" t="s">
        <v>68</v>
      </c>
      <c r="G138" s="41" t="s">
        <v>45</v>
      </c>
      <c r="H138" s="41" t="s">
        <v>46</v>
      </c>
      <c r="I138" s="41" t="s">
        <v>81</v>
      </c>
      <c r="J138" s="4">
        <v>46055</v>
      </c>
      <c r="K138" s="4">
        <v>46061</v>
      </c>
      <c r="L138" s="4">
        <v>46065</v>
      </c>
      <c r="M138" s="17">
        <f t="shared" si="14"/>
        <v>46054</v>
      </c>
      <c r="N138" s="17" t="str">
        <f t="shared" si="15"/>
        <v>Feb</v>
      </c>
      <c r="O138" s="10">
        <f t="shared" si="16"/>
        <v>2</v>
      </c>
      <c r="P138" s="10">
        <f>TravelExpenseTable[[#This Row],[Departure_Date]]-TravelExpenseTable[[#This Row],[Booking_Date]]</f>
        <v>6</v>
      </c>
      <c r="Q138" s="10">
        <f>TravelExpenseTable[[#This Row],[Return_Date]]-TravelExpenseTable[[#This Row],[Departure_Date]]</f>
        <v>4</v>
      </c>
      <c r="R138" s="41" t="s">
        <v>70</v>
      </c>
      <c r="S138" s="41" t="s">
        <v>138</v>
      </c>
      <c r="T138" s="5">
        <v>1172.3599999999999</v>
      </c>
      <c r="U138" s="5">
        <v>992.79</v>
      </c>
      <c r="V138" s="5">
        <v>130.66</v>
      </c>
      <c r="W138" s="5">
        <v>358.58</v>
      </c>
      <c r="X138" s="5">
        <v>48.37</v>
      </c>
      <c r="Y138" s="6">
        <f>SUM(TravelExpenseTable[[#This Row],[Airfare_USD]],,,TravelExpenseTable[[#This Row],[Hotel_USD]],TravelExpenseTable[[#This Row],[Ground_Transport_USD]],TravelExpenseTable[[#This Row],[Meals_USD]],TravelExpenseTable[[#This Row],[Other_Expenses_USD]])</f>
        <v>2702.7599999999993</v>
      </c>
      <c r="Z138" s="5">
        <v>2714.29</v>
      </c>
      <c r="AA138" s="6">
        <f>TravelExpenseTable[[#This Row],[Budget_USD]]-TravelExpenseTable[[#This Row],[Total_Actual_USD]]</f>
        <v>11.530000000000655</v>
      </c>
      <c r="AB138" s="13">
        <f>TravelExpenseTable[[#This Row],[Budget_Variance_USD]]/TravelExpenseTable[[#This Row],[Budget_USD]]</f>
        <v>4.2478880296507211E-3</v>
      </c>
      <c r="AC138" s="6" t="str">
        <f t="shared" si="17"/>
        <v>Within Budget</v>
      </c>
      <c r="AD138" s="41" t="s">
        <v>50</v>
      </c>
      <c r="AE138" s="41" t="s">
        <v>92</v>
      </c>
      <c r="AF138" s="41" t="s">
        <v>52</v>
      </c>
      <c r="AG138" s="41" t="s">
        <v>53</v>
      </c>
      <c r="AH138" s="41"/>
    </row>
    <row r="139" spans="1:34">
      <c r="A139" s="41" t="s">
        <v>284</v>
      </c>
      <c r="B139" s="41" t="s">
        <v>285</v>
      </c>
      <c r="C139" s="41" t="s">
        <v>95</v>
      </c>
      <c r="D139" s="41" t="s">
        <v>111</v>
      </c>
      <c r="E139" s="41" t="s">
        <v>43</v>
      </c>
      <c r="F139" s="41" t="s">
        <v>58</v>
      </c>
      <c r="G139" s="41" t="s">
        <v>59</v>
      </c>
      <c r="H139" s="41" t="s">
        <v>108</v>
      </c>
      <c r="I139" s="41" t="s">
        <v>60</v>
      </c>
      <c r="J139" s="4">
        <v>46132</v>
      </c>
      <c r="K139" s="4">
        <v>46158</v>
      </c>
      <c r="L139" s="4">
        <v>46163</v>
      </c>
      <c r="M139" s="17">
        <f t="shared" si="14"/>
        <v>46143</v>
      </c>
      <c r="N139" s="17" t="str">
        <f t="shared" si="15"/>
        <v>May</v>
      </c>
      <c r="O139" s="10">
        <f t="shared" si="16"/>
        <v>5</v>
      </c>
      <c r="P139" s="10">
        <f>TravelExpenseTable[[#This Row],[Departure_Date]]-TravelExpenseTable[[#This Row],[Booking_Date]]</f>
        <v>26</v>
      </c>
      <c r="Q139" s="10">
        <f>TravelExpenseTable[[#This Row],[Return_Date]]-TravelExpenseTable[[#This Row],[Departure_Date]]</f>
        <v>5</v>
      </c>
      <c r="R139" s="41" t="s">
        <v>144</v>
      </c>
      <c r="S139" s="41" t="s">
        <v>71</v>
      </c>
      <c r="T139" s="5">
        <v>1655.8</v>
      </c>
      <c r="U139" s="5">
        <v>1754.81</v>
      </c>
      <c r="V139" s="5">
        <v>93.29</v>
      </c>
      <c r="W139" s="5">
        <v>566.65</v>
      </c>
      <c r="X139" s="5">
        <v>114.27</v>
      </c>
      <c r="Y139" s="6">
        <f>SUM(TravelExpenseTable[[#This Row],[Airfare_USD]],,,TravelExpenseTable[[#This Row],[Hotel_USD]],TravelExpenseTable[[#This Row],[Ground_Transport_USD]],TravelExpenseTable[[#This Row],[Meals_USD]],TravelExpenseTable[[#This Row],[Other_Expenses_USD]])</f>
        <v>4184.82</v>
      </c>
      <c r="Z139" s="5">
        <v>4558.05</v>
      </c>
      <c r="AA139" s="6">
        <f>TravelExpenseTable[[#This Row],[Budget_USD]]-TravelExpenseTable[[#This Row],[Total_Actual_USD]]</f>
        <v>373.23000000000047</v>
      </c>
      <c r="AB139" s="13">
        <f>TravelExpenseTable[[#This Row],[Budget_Variance_USD]]/TravelExpenseTable[[#This Row],[Budget_USD]]</f>
        <v>8.1883700266561457E-2</v>
      </c>
      <c r="AC139" s="6" t="str">
        <f t="shared" si="17"/>
        <v>Within Budget</v>
      </c>
      <c r="AD139" s="41" t="s">
        <v>50</v>
      </c>
      <c r="AE139" s="41" t="s">
        <v>50</v>
      </c>
      <c r="AF139" s="41" t="s">
        <v>52</v>
      </c>
      <c r="AG139" s="41" t="s">
        <v>53</v>
      </c>
      <c r="AH139" s="41"/>
    </row>
    <row r="140" spans="1:34">
      <c r="A140" s="41" t="s">
        <v>286</v>
      </c>
      <c r="B140" s="41" t="s">
        <v>179</v>
      </c>
      <c r="C140" s="41" t="s">
        <v>95</v>
      </c>
      <c r="D140" s="41" t="s">
        <v>86</v>
      </c>
      <c r="E140" s="41" t="s">
        <v>43</v>
      </c>
      <c r="F140" s="41" t="s">
        <v>182</v>
      </c>
      <c r="G140" s="41" t="s">
        <v>45</v>
      </c>
      <c r="H140" s="41" t="s">
        <v>46</v>
      </c>
      <c r="I140" s="41" t="s">
        <v>60</v>
      </c>
      <c r="J140" s="4">
        <v>46130</v>
      </c>
      <c r="K140" s="4">
        <v>46153</v>
      </c>
      <c r="L140" s="4">
        <v>46156</v>
      </c>
      <c r="M140" s="17">
        <f t="shared" si="14"/>
        <v>46143</v>
      </c>
      <c r="N140" s="17" t="str">
        <f t="shared" si="15"/>
        <v>May</v>
      </c>
      <c r="O140" s="10">
        <f t="shared" si="16"/>
        <v>5</v>
      </c>
      <c r="P140" s="10">
        <f>TravelExpenseTable[[#This Row],[Departure_Date]]-TravelExpenseTable[[#This Row],[Booking_Date]]</f>
        <v>23</v>
      </c>
      <c r="Q140" s="10">
        <f>TravelExpenseTable[[#This Row],[Return_Date]]-TravelExpenseTable[[#This Row],[Departure_Date]]</f>
        <v>3</v>
      </c>
      <c r="R140" s="41" t="s">
        <v>121</v>
      </c>
      <c r="S140" s="41" t="s">
        <v>138</v>
      </c>
      <c r="T140" s="5">
        <v>486.64</v>
      </c>
      <c r="U140" s="5">
        <v>585</v>
      </c>
      <c r="V140" s="5">
        <v>164.45</v>
      </c>
      <c r="W140" s="5">
        <v>173.71</v>
      </c>
      <c r="X140" s="5">
        <v>17.920000000000002</v>
      </c>
      <c r="Y140" s="6">
        <f>SUM(TravelExpenseTable[[#This Row],[Airfare_USD]],,,TravelExpenseTable[[#This Row],[Hotel_USD]],TravelExpenseTable[[#This Row],[Ground_Transport_USD]],TravelExpenseTable[[#This Row],[Meals_USD]],TravelExpenseTable[[#This Row],[Other_Expenses_USD]])</f>
        <v>1427.72</v>
      </c>
      <c r="Z140" s="5">
        <v>1592.15</v>
      </c>
      <c r="AA140" s="6">
        <f>TravelExpenseTable[[#This Row],[Budget_USD]]-TravelExpenseTable[[#This Row],[Total_Actual_USD]]</f>
        <v>164.43000000000006</v>
      </c>
      <c r="AB140" s="13">
        <f>TravelExpenseTable[[#This Row],[Budget_Variance_USD]]/TravelExpenseTable[[#This Row],[Budget_USD]]</f>
        <v>0.10327544515278086</v>
      </c>
      <c r="AC140" s="6" t="str">
        <f t="shared" si="17"/>
        <v>Within Budget</v>
      </c>
      <c r="AD140" s="41" t="s">
        <v>50</v>
      </c>
      <c r="AE140" s="41" t="s">
        <v>92</v>
      </c>
      <c r="AF140" s="41" t="s">
        <v>52</v>
      </c>
      <c r="AG140" s="41" t="s">
        <v>53</v>
      </c>
      <c r="AH140" s="41"/>
    </row>
    <row r="141" spans="1:34">
      <c r="A141" s="41" t="s">
        <v>287</v>
      </c>
      <c r="B141" s="41" t="s">
        <v>123</v>
      </c>
      <c r="C141" s="41" t="s">
        <v>41</v>
      </c>
      <c r="D141" s="41" t="s">
        <v>124</v>
      </c>
      <c r="E141" s="41" t="s">
        <v>43</v>
      </c>
      <c r="F141" s="41" t="s">
        <v>80</v>
      </c>
      <c r="G141" s="41" t="s">
        <v>59</v>
      </c>
      <c r="H141" s="41" t="s">
        <v>69</v>
      </c>
      <c r="I141" s="41" t="s">
        <v>47</v>
      </c>
      <c r="J141" s="4">
        <v>46113</v>
      </c>
      <c r="K141" s="4">
        <v>46143</v>
      </c>
      <c r="L141" s="4">
        <v>46146</v>
      </c>
      <c r="M141" s="17">
        <f t="shared" si="14"/>
        <v>46143</v>
      </c>
      <c r="N141" s="17" t="str">
        <f t="shared" si="15"/>
        <v>May</v>
      </c>
      <c r="O141" s="10">
        <f t="shared" si="16"/>
        <v>5</v>
      </c>
      <c r="P141" s="10">
        <f>TravelExpenseTable[[#This Row],[Departure_Date]]-TravelExpenseTable[[#This Row],[Booking_Date]]</f>
        <v>30</v>
      </c>
      <c r="Q141" s="10">
        <f>TravelExpenseTable[[#This Row],[Return_Date]]-TravelExpenseTable[[#This Row],[Departure_Date]]</f>
        <v>3</v>
      </c>
      <c r="R141" s="41" t="s">
        <v>188</v>
      </c>
      <c r="S141" s="41" t="s">
        <v>138</v>
      </c>
      <c r="T141" s="5">
        <v>967.49</v>
      </c>
      <c r="U141" s="5">
        <v>1069.6600000000001</v>
      </c>
      <c r="V141" s="5">
        <v>93.33</v>
      </c>
      <c r="W141" s="5">
        <v>229.88</v>
      </c>
      <c r="X141" s="5">
        <v>14.84</v>
      </c>
      <c r="Y141" s="6">
        <f>SUM(TravelExpenseTable[[#This Row],[Airfare_USD]],,,TravelExpenseTable[[#This Row],[Hotel_USD]],TravelExpenseTable[[#This Row],[Ground_Transport_USD]],TravelExpenseTable[[#This Row],[Meals_USD]],TravelExpenseTable[[#This Row],[Other_Expenses_USD]])</f>
        <v>2375.2000000000003</v>
      </c>
      <c r="Z141" s="5">
        <v>2563.6799999999998</v>
      </c>
      <c r="AA141" s="6">
        <f>TravelExpenseTable[[#This Row],[Budget_USD]]-TravelExpenseTable[[#This Row],[Total_Actual_USD]]</f>
        <v>188.47999999999956</v>
      </c>
      <c r="AB141" s="13">
        <f>TravelExpenseTable[[#This Row],[Budget_Variance_USD]]/TravelExpenseTable[[#This Row],[Budget_USD]]</f>
        <v>7.3519315983273881E-2</v>
      </c>
      <c r="AC141" s="6" t="str">
        <f t="shared" si="17"/>
        <v>Within Budget</v>
      </c>
      <c r="AD141" s="41" t="s">
        <v>50</v>
      </c>
      <c r="AE141" s="41" t="s">
        <v>92</v>
      </c>
      <c r="AF141" s="41" t="s">
        <v>52</v>
      </c>
      <c r="AG141" s="41" t="s">
        <v>53</v>
      </c>
      <c r="AH141" s="41"/>
    </row>
    <row r="142" spans="1:34">
      <c r="A142" s="41" t="s">
        <v>288</v>
      </c>
      <c r="B142" s="41" t="s">
        <v>106</v>
      </c>
      <c r="C142" s="41" t="s">
        <v>41</v>
      </c>
      <c r="D142" s="41" t="s">
        <v>107</v>
      </c>
      <c r="E142" s="41" t="s">
        <v>43</v>
      </c>
      <c r="F142" s="41" t="s">
        <v>104</v>
      </c>
      <c r="G142" s="41" t="s">
        <v>45</v>
      </c>
      <c r="H142" s="41" t="s">
        <v>116</v>
      </c>
      <c r="I142" s="41" t="s">
        <v>81</v>
      </c>
      <c r="J142" s="4">
        <v>46127</v>
      </c>
      <c r="K142" s="4">
        <v>46136</v>
      </c>
      <c r="L142" s="4">
        <v>46137</v>
      </c>
      <c r="M142" s="17">
        <f t="shared" si="14"/>
        <v>46113</v>
      </c>
      <c r="N142" s="17" t="str">
        <f t="shared" si="15"/>
        <v>Apr</v>
      </c>
      <c r="O142" s="10">
        <f t="shared" si="16"/>
        <v>4</v>
      </c>
      <c r="P142" s="10">
        <f>TravelExpenseTable[[#This Row],[Departure_Date]]-TravelExpenseTable[[#This Row],[Booking_Date]]</f>
        <v>9</v>
      </c>
      <c r="Q142" s="10">
        <f>TravelExpenseTable[[#This Row],[Return_Date]]-TravelExpenseTable[[#This Row],[Departure_Date]]</f>
        <v>1</v>
      </c>
      <c r="R142" s="41" t="s">
        <v>70</v>
      </c>
      <c r="S142" s="41" t="s">
        <v>77</v>
      </c>
      <c r="T142" s="5">
        <v>548.4</v>
      </c>
      <c r="U142" s="5">
        <v>323.89</v>
      </c>
      <c r="V142" s="5">
        <v>122.89</v>
      </c>
      <c r="W142" s="5">
        <v>55.48</v>
      </c>
      <c r="X142" s="5">
        <v>61.84</v>
      </c>
      <c r="Y142" s="6">
        <f>SUM(TravelExpenseTable[[#This Row],[Airfare_USD]],,,TravelExpenseTable[[#This Row],[Hotel_USD]],TravelExpenseTable[[#This Row],[Ground_Transport_USD]],TravelExpenseTable[[#This Row],[Meals_USD]],TravelExpenseTable[[#This Row],[Other_Expenses_USD]])</f>
        <v>1112.4999999999998</v>
      </c>
      <c r="Z142" s="5">
        <v>1019.25</v>
      </c>
      <c r="AA142" s="6">
        <f>TravelExpenseTable[[#This Row],[Budget_USD]]-TravelExpenseTable[[#This Row],[Total_Actual_USD]]</f>
        <v>-93.249999999999773</v>
      </c>
      <c r="AB142" s="13">
        <f>TravelExpenseTable[[#This Row],[Budget_Variance_USD]]/TravelExpenseTable[[#This Row],[Budget_USD]]</f>
        <v>-9.1488839833210475E-2</v>
      </c>
      <c r="AC142" s="6" t="str">
        <f t="shared" si="17"/>
        <v>Over Budget</v>
      </c>
      <c r="AD142" s="41" t="s">
        <v>50</v>
      </c>
      <c r="AE142" s="41" t="s">
        <v>51</v>
      </c>
      <c r="AF142" s="41" t="s">
        <v>52</v>
      </c>
      <c r="AG142" s="41" t="s">
        <v>53</v>
      </c>
      <c r="AH142" s="41"/>
    </row>
    <row r="143" spans="1:34">
      <c r="A143" s="41" t="s">
        <v>289</v>
      </c>
      <c r="B143" s="41" t="s">
        <v>55</v>
      </c>
      <c r="C143" s="41" t="s">
        <v>56</v>
      </c>
      <c r="D143" s="41" t="s">
        <v>57</v>
      </c>
      <c r="E143" s="41" t="s">
        <v>43</v>
      </c>
      <c r="F143" s="41" t="s">
        <v>104</v>
      </c>
      <c r="G143" s="41" t="s">
        <v>45</v>
      </c>
      <c r="H143" s="41" t="s">
        <v>112</v>
      </c>
      <c r="I143" s="41" t="s">
        <v>47</v>
      </c>
      <c r="J143" s="4">
        <v>46116</v>
      </c>
      <c r="K143" s="4">
        <v>46125</v>
      </c>
      <c r="L143" s="4">
        <v>46126</v>
      </c>
      <c r="M143" s="17">
        <f t="shared" si="14"/>
        <v>46113</v>
      </c>
      <c r="N143" s="17" t="str">
        <f t="shared" si="15"/>
        <v>Apr</v>
      </c>
      <c r="O143" s="10">
        <f t="shared" si="16"/>
        <v>4</v>
      </c>
      <c r="P143" s="10">
        <f>TravelExpenseTable[[#This Row],[Departure_Date]]-TravelExpenseTable[[#This Row],[Booking_Date]]</f>
        <v>9</v>
      </c>
      <c r="Q143" s="10">
        <f>TravelExpenseTable[[#This Row],[Return_Date]]-TravelExpenseTable[[#This Row],[Departure_Date]]</f>
        <v>1</v>
      </c>
      <c r="R143" s="41" t="s">
        <v>121</v>
      </c>
      <c r="S143" s="41" t="s">
        <v>71</v>
      </c>
      <c r="T143" s="5">
        <v>288.16000000000003</v>
      </c>
      <c r="U143" s="5">
        <v>374.69</v>
      </c>
      <c r="V143" s="5">
        <v>176.8</v>
      </c>
      <c r="W143" s="5">
        <v>62.99</v>
      </c>
      <c r="X143" s="5">
        <v>178.73</v>
      </c>
      <c r="Y143" s="6">
        <f>SUM(TravelExpenseTable[[#This Row],[Airfare_USD]],,,TravelExpenseTable[[#This Row],[Hotel_USD]],TravelExpenseTable[[#This Row],[Ground_Transport_USD]],TravelExpenseTable[[#This Row],[Meals_USD]],TravelExpenseTable[[#This Row],[Other_Expenses_USD]])</f>
        <v>1081.3700000000001</v>
      </c>
      <c r="Z143" s="5">
        <v>997.95</v>
      </c>
      <c r="AA143" s="6">
        <f>TravelExpenseTable[[#This Row],[Budget_USD]]-TravelExpenseTable[[#This Row],[Total_Actual_USD]]</f>
        <v>-83.420000000000073</v>
      </c>
      <c r="AB143" s="13">
        <f>TravelExpenseTable[[#This Row],[Budget_Variance_USD]]/TravelExpenseTable[[#This Row],[Budget_USD]]</f>
        <v>-8.3591362292700103E-2</v>
      </c>
      <c r="AC143" s="6" t="str">
        <f t="shared" si="17"/>
        <v>Over Budget</v>
      </c>
      <c r="AD143" s="41" t="s">
        <v>51</v>
      </c>
      <c r="AE143" s="41" t="s">
        <v>50</v>
      </c>
      <c r="AF143" s="41" t="s">
        <v>52</v>
      </c>
      <c r="AG143" s="41" t="s">
        <v>53</v>
      </c>
      <c r="AH143" s="41"/>
    </row>
    <row r="144" spans="1:34">
      <c r="A144" s="41" t="s">
        <v>290</v>
      </c>
      <c r="B144" s="41" t="s">
        <v>123</v>
      </c>
      <c r="C144" s="41" t="s">
        <v>41</v>
      </c>
      <c r="D144" s="41" t="s">
        <v>124</v>
      </c>
      <c r="E144" s="41" t="s">
        <v>43</v>
      </c>
      <c r="F144" s="41" t="s">
        <v>80</v>
      </c>
      <c r="G144" s="41" t="s">
        <v>59</v>
      </c>
      <c r="H144" s="41" t="s">
        <v>75</v>
      </c>
      <c r="I144" s="41" t="s">
        <v>47</v>
      </c>
      <c r="J144" s="4">
        <v>46073</v>
      </c>
      <c r="K144" s="4">
        <v>46116</v>
      </c>
      <c r="L144" s="4">
        <v>46120</v>
      </c>
      <c r="M144" s="17">
        <f t="shared" si="14"/>
        <v>46113</v>
      </c>
      <c r="N144" s="17" t="str">
        <f t="shared" si="15"/>
        <v>Apr</v>
      </c>
      <c r="O144" s="10">
        <f t="shared" si="16"/>
        <v>4</v>
      </c>
      <c r="P144" s="10">
        <f>TravelExpenseTable[[#This Row],[Departure_Date]]-TravelExpenseTable[[#This Row],[Booking_Date]]</f>
        <v>43</v>
      </c>
      <c r="Q144" s="10">
        <f>TravelExpenseTable[[#This Row],[Return_Date]]-TravelExpenseTable[[#This Row],[Departure_Date]]</f>
        <v>4</v>
      </c>
      <c r="R144" s="41" t="s">
        <v>144</v>
      </c>
      <c r="S144" s="41" t="s">
        <v>77</v>
      </c>
      <c r="T144" s="5">
        <v>684.04</v>
      </c>
      <c r="U144" s="5">
        <v>1331.86</v>
      </c>
      <c r="V144" s="5">
        <v>217.39</v>
      </c>
      <c r="W144" s="5">
        <v>312.17</v>
      </c>
      <c r="X144" s="5">
        <v>173.38</v>
      </c>
      <c r="Y144" s="6">
        <f>SUM(TravelExpenseTable[[#This Row],[Airfare_USD]],,,TravelExpenseTable[[#This Row],[Hotel_USD]],TravelExpenseTable[[#This Row],[Ground_Transport_USD]],TravelExpenseTable[[#This Row],[Meals_USD]],TravelExpenseTable[[#This Row],[Other_Expenses_USD]])</f>
        <v>2718.84</v>
      </c>
      <c r="Z144" s="5">
        <v>2649.1</v>
      </c>
      <c r="AA144" s="6">
        <f>TravelExpenseTable[[#This Row],[Budget_USD]]-TravelExpenseTable[[#This Row],[Total_Actual_USD]]</f>
        <v>-69.740000000000236</v>
      </c>
      <c r="AB144" s="13">
        <f>TravelExpenseTable[[#This Row],[Budget_Variance_USD]]/TravelExpenseTable[[#This Row],[Budget_USD]]</f>
        <v>-2.6325922011249194E-2</v>
      </c>
      <c r="AC144" s="6" t="str">
        <f t="shared" si="17"/>
        <v>Over Budget</v>
      </c>
      <c r="AD144" s="41" t="s">
        <v>50</v>
      </c>
      <c r="AE144" s="41" t="s">
        <v>50</v>
      </c>
      <c r="AF144" s="41" t="s">
        <v>52</v>
      </c>
      <c r="AG144" s="41" t="s">
        <v>53</v>
      </c>
      <c r="AH144" s="41"/>
    </row>
    <row r="145" spans="1:34">
      <c r="A145" s="41" t="s">
        <v>291</v>
      </c>
      <c r="B145" s="41" t="s">
        <v>285</v>
      </c>
      <c r="C145" s="41" t="s">
        <v>95</v>
      </c>
      <c r="D145" s="41" t="s">
        <v>111</v>
      </c>
      <c r="E145" s="41" t="s">
        <v>43</v>
      </c>
      <c r="F145" s="41" t="s">
        <v>104</v>
      </c>
      <c r="G145" s="41" t="s">
        <v>45</v>
      </c>
      <c r="H145" s="41" t="s">
        <v>46</v>
      </c>
      <c r="I145" s="41" t="s">
        <v>60</v>
      </c>
      <c r="J145" s="4">
        <v>46164</v>
      </c>
      <c r="K145" s="4">
        <v>46168</v>
      </c>
      <c r="L145" s="4">
        <v>46171</v>
      </c>
      <c r="M145" s="17">
        <f t="shared" si="14"/>
        <v>46143</v>
      </c>
      <c r="N145" s="17" t="str">
        <f t="shared" si="15"/>
        <v>May</v>
      </c>
      <c r="O145" s="10">
        <f t="shared" si="16"/>
        <v>5</v>
      </c>
      <c r="P145" s="10">
        <f>TravelExpenseTable[[#This Row],[Departure_Date]]-TravelExpenseTable[[#This Row],[Booking_Date]]</f>
        <v>4</v>
      </c>
      <c r="Q145" s="10">
        <f>TravelExpenseTable[[#This Row],[Return_Date]]-TravelExpenseTable[[#This Row],[Departure_Date]]</f>
        <v>3</v>
      </c>
      <c r="R145" s="41" t="s">
        <v>70</v>
      </c>
      <c r="S145" s="41" t="s">
        <v>91</v>
      </c>
      <c r="T145" s="5">
        <v>459.31</v>
      </c>
      <c r="U145" s="5">
        <v>1198.75</v>
      </c>
      <c r="V145" s="5">
        <v>212.07</v>
      </c>
      <c r="W145" s="5">
        <v>254.08</v>
      </c>
      <c r="X145" s="5">
        <v>20.29</v>
      </c>
      <c r="Y145" s="6">
        <f>SUM(TravelExpenseTable[[#This Row],[Airfare_USD]],,,TravelExpenseTable[[#This Row],[Hotel_USD]],TravelExpenseTable[[#This Row],[Ground_Transport_USD]],TravelExpenseTable[[#This Row],[Meals_USD]],TravelExpenseTable[[#This Row],[Other_Expenses_USD]])</f>
        <v>2144.5</v>
      </c>
      <c r="Z145" s="5">
        <v>2208.5700000000002</v>
      </c>
      <c r="AA145" s="6">
        <f>TravelExpenseTable[[#This Row],[Budget_USD]]-TravelExpenseTable[[#This Row],[Total_Actual_USD]]</f>
        <v>64.070000000000164</v>
      </c>
      <c r="AB145" s="13">
        <f>TravelExpenseTable[[#This Row],[Budget_Variance_USD]]/TravelExpenseTable[[#This Row],[Budget_USD]]</f>
        <v>2.9009721222329452E-2</v>
      </c>
      <c r="AC145" s="6" t="str">
        <f t="shared" si="17"/>
        <v>Within Budget</v>
      </c>
      <c r="AD145" s="41" t="s">
        <v>51</v>
      </c>
      <c r="AE145" s="41" t="s">
        <v>92</v>
      </c>
      <c r="AF145" s="41" t="s">
        <v>52</v>
      </c>
      <c r="AG145" s="41" t="s">
        <v>53</v>
      </c>
      <c r="AH145" s="41"/>
    </row>
    <row r="146" spans="1:34">
      <c r="A146" s="55" t="s">
        <v>292</v>
      </c>
      <c r="B146" s="55" t="s">
        <v>79</v>
      </c>
      <c r="C146" s="55" t="s">
        <v>41</v>
      </c>
      <c r="D146" s="55" t="s">
        <v>42</v>
      </c>
      <c r="E146" s="55" t="s">
        <v>43</v>
      </c>
      <c r="F146" s="55" t="s">
        <v>133</v>
      </c>
      <c r="G146" s="55" t="s">
        <v>45</v>
      </c>
      <c r="H146" s="55" t="s">
        <v>97</v>
      </c>
      <c r="I146" s="55" t="s">
        <v>47</v>
      </c>
      <c r="J146" s="56">
        <v>46021</v>
      </c>
      <c r="K146" s="56">
        <v>46060</v>
      </c>
      <c r="L146" s="56">
        <v>46064</v>
      </c>
      <c r="M146" s="57">
        <f t="shared" si="14"/>
        <v>46054</v>
      </c>
      <c r="N146" s="57" t="str">
        <f t="shared" si="15"/>
        <v>Feb</v>
      </c>
      <c r="O146" s="58">
        <f t="shared" si="16"/>
        <v>2</v>
      </c>
      <c r="P146" s="58">
        <f>TravelExpenseTable[[#This Row],[Departure_Date]]-TravelExpenseTable[[#This Row],[Booking_Date]]</f>
        <v>39</v>
      </c>
      <c r="Q146" s="58">
        <f>TravelExpenseTable[[#This Row],[Return_Date]]-TravelExpenseTable[[#This Row],[Departure_Date]]</f>
        <v>4</v>
      </c>
      <c r="R146" s="55" t="s">
        <v>121</v>
      </c>
      <c r="S146" s="55" t="s">
        <v>138</v>
      </c>
      <c r="T146" s="59">
        <v>699.02</v>
      </c>
      <c r="U146" s="59">
        <v>570.67999999999995</v>
      </c>
      <c r="V146" s="59">
        <v>56.82</v>
      </c>
      <c r="W146" s="59">
        <v>282.92</v>
      </c>
      <c r="X146" s="59">
        <v>7.17</v>
      </c>
      <c r="Y146" s="60">
        <f>SUM(TravelExpenseTable[[#This Row],[Airfare_USD]],,,TravelExpenseTable[[#This Row],[Hotel_USD]],TravelExpenseTable[[#This Row],[Ground_Transport_USD]],TravelExpenseTable[[#This Row],[Meals_USD]],TravelExpenseTable[[#This Row],[Other_Expenses_USD]])</f>
        <v>1616.61</v>
      </c>
      <c r="Z146" s="59">
        <v>1451.94</v>
      </c>
      <c r="AA146" s="60">
        <f>TravelExpenseTable[[#This Row],[Budget_USD]]-TravelExpenseTable[[#This Row],[Total_Actual_USD]]</f>
        <v>-164.66999999999985</v>
      </c>
      <c r="AB146" s="61">
        <f>TravelExpenseTable[[#This Row],[Budget_Variance_USD]]/TravelExpenseTable[[#This Row],[Budget_USD]]</f>
        <v>-0.11341377742881927</v>
      </c>
      <c r="AC146" s="60" t="str">
        <f t="shared" si="17"/>
        <v>Over Budget</v>
      </c>
      <c r="AD146" s="55" t="s">
        <v>50</v>
      </c>
      <c r="AE146" s="55" t="s">
        <v>50</v>
      </c>
      <c r="AF146" s="55" t="s">
        <v>52</v>
      </c>
      <c r="AG146" s="55" t="s">
        <v>52</v>
      </c>
      <c r="AH146" s="55" t="s">
        <v>117</v>
      </c>
    </row>
    <row r="147" spans="1:34">
      <c r="A147" s="41" t="s">
        <v>293</v>
      </c>
      <c r="B147" s="41" t="s">
        <v>179</v>
      </c>
      <c r="C147" s="41" t="s">
        <v>95</v>
      </c>
      <c r="D147" s="41" t="s">
        <v>86</v>
      </c>
      <c r="E147" s="41" t="s">
        <v>43</v>
      </c>
      <c r="F147" s="41" t="s">
        <v>58</v>
      </c>
      <c r="G147" s="41" t="s">
        <v>59</v>
      </c>
      <c r="H147" s="41" t="s">
        <v>75</v>
      </c>
      <c r="I147" s="41" t="s">
        <v>81</v>
      </c>
      <c r="J147" s="4">
        <v>46011</v>
      </c>
      <c r="K147" s="4">
        <v>46048</v>
      </c>
      <c r="L147" s="4">
        <v>46055</v>
      </c>
      <c r="M147" s="17">
        <f t="shared" si="14"/>
        <v>46023</v>
      </c>
      <c r="N147" s="17" t="str">
        <f t="shared" si="15"/>
        <v>Jan</v>
      </c>
      <c r="O147" s="10">
        <f t="shared" si="16"/>
        <v>1</v>
      </c>
      <c r="P147" s="10">
        <f>TravelExpenseTable[[#This Row],[Departure_Date]]-TravelExpenseTable[[#This Row],[Booking_Date]]</f>
        <v>37</v>
      </c>
      <c r="Q147" s="10">
        <f>TravelExpenseTable[[#This Row],[Return_Date]]-TravelExpenseTable[[#This Row],[Departure_Date]]</f>
        <v>7</v>
      </c>
      <c r="R147" s="41" t="s">
        <v>121</v>
      </c>
      <c r="S147" s="41" t="s">
        <v>82</v>
      </c>
      <c r="T147" s="5">
        <v>1098.72</v>
      </c>
      <c r="U147" s="5">
        <v>2404.7199999999998</v>
      </c>
      <c r="V147" s="5">
        <v>204.1</v>
      </c>
      <c r="W147" s="5">
        <v>549.11</v>
      </c>
      <c r="X147" s="5">
        <v>114.17</v>
      </c>
      <c r="Y147" s="6">
        <f>SUM(TravelExpenseTable[[#This Row],[Airfare_USD]],,,TravelExpenseTable[[#This Row],[Hotel_USD]],TravelExpenseTable[[#This Row],[Ground_Transport_USD]],TravelExpenseTable[[#This Row],[Meals_USD]],TravelExpenseTable[[#This Row],[Other_Expenses_USD]])</f>
        <v>4370.82</v>
      </c>
      <c r="Z147" s="5">
        <v>4940.59</v>
      </c>
      <c r="AA147" s="6">
        <f>TravelExpenseTable[[#This Row],[Budget_USD]]-TravelExpenseTable[[#This Row],[Total_Actual_USD]]</f>
        <v>569.77000000000044</v>
      </c>
      <c r="AB147" s="13">
        <f>TravelExpenseTable[[#This Row],[Budget_Variance_USD]]/TravelExpenseTable[[#This Row],[Budget_USD]]</f>
        <v>0.1153242831321766</v>
      </c>
      <c r="AC147" s="6" t="str">
        <f t="shared" si="17"/>
        <v>Within Budget</v>
      </c>
      <c r="AD147" s="41" t="s">
        <v>50</v>
      </c>
      <c r="AE147" s="41" t="s">
        <v>83</v>
      </c>
      <c r="AF147" s="41" t="s">
        <v>52</v>
      </c>
      <c r="AG147" s="41" t="s">
        <v>53</v>
      </c>
      <c r="AH147" s="41"/>
    </row>
    <row r="148" spans="1:34">
      <c r="A148" s="41" t="s">
        <v>294</v>
      </c>
      <c r="B148" s="41" t="s">
        <v>85</v>
      </c>
      <c r="C148" s="41" t="s">
        <v>41</v>
      </c>
      <c r="D148" s="41" t="s">
        <v>86</v>
      </c>
      <c r="E148" s="41" t="s">
        <v>43</v>
      </c>
      <c r="F148" s="41" t="s">
        <v>90</v>
      </c>
      <c r="G148" s="41" t="s">
        <v>45</v>
      </c>
      <c r="H148" s="41" t="s">
        <v>112</v>
      </c>
      <c r="I148" s="41" t="s">
        <v>81</v>
      </c>
      <c r="J148" s="4">
        <v>46059</v>
      </c>
      <c r="K148" s="4">
        <v>46089</v>
      </c>
      <c r="L148" s="4">
        <v>46090</v>
      </c>
      <c r="M148" s="17">
        <f t="shared" si="14"/>
        <v>46082</v>
      </c>
      <c r="N148" s="17" t="str">
        <f t="shared" si="15"/>
        <v>Mar</v>
      </c>
      <c r="O148" s="10">
        <f t="shared" si="16"/>
        <v>3</v>
      </c>
      <c r="P148" s="10">
        <f>TravelExpenseTable[[#This Row],[Departure_Date]]-TravelExpenseTable[[#This Row],[Booking_Date]]</f>
        <v>30</v>
      </c>
      <c r="Q148" s="10">
        <f>TravelExpenseTable[[#This Row],[Return_Date]]-TravelExpenseTable[[#This Row],[Departure_Date]]</f>
        <v>1</v>
      </c>
      <c r="R148" s="41" t="s">
        <v>98</v>
      </c>
      <c r="S148" s="41" t="s">
        <v>62</v>
      </c>
      <c r="T148" s="5">
        <v>584.72</v>
      </c>
      <c r="U148" s="5">
        <v>159.11000000000001</v>
      </c>
      <c r="V148" s="5">
        <v>168.88</v>
      </c>
      <c r="W148" s="5">
        <v>97.09</v>
      </c>
      <c r="X148" s="5">
        <v>29.49</v>
      </c>
      <c r="Y148" s="6">
        <f>SUM(TravelExpenseTable[[#This Row],[Airfare_USD]],,,TravelExpenseTable[[#This Row],[Hotel_USD]],TravelExpenseTable[[#This Row],[Ground_Transport_USD]],TravelExpenseTable[[#This Row],[Meals_USD]],TravelExpenseTable[[#This Row],[Other_Expenses_USD]])</f>
        <v>1039.29</v>
      </c>
      <c r="Z148" s="5">
        <v>1211.71</v>
      </c>
      <c r="AA148" s="6">
        <f>TravelExpenseTable[[#This Row],[Budget_USD]]-TravelExpenseTable[[#This Row],[Total_Actual_USD]]</f>
        <v>172.42000000000007</v>
      </c>
      <c r="AB148" s="13">
        <f>TravelExpenseTable[[#This Row],[Budget_Variance_USD]]/TravelExpenseTable[[#This Row],[Budget_USD]]</f>
        <v>0.14229477350191058</v>
      </c>
      <c r="AC148" s="6" t="str">
        <f t="shared" si="17"/>
        <v>Within Budget</v>
      </c>
      <c r="AD148" s="41" t="s">
        <v>51</v>
      </c>
      <c r="AE148" s="41" t="s">
        <v>50</v>
      </c>
      <c r="AF148" s="41" t="s">
        <v>52</v>
      </c>
      <c r="AG148" s="41" t="s">
        <v>53</v>
      </c>
      <c r="AH148" s="41"/>
    </row>
    <row r="149" spans="1:34">
      <c r="A149" s="41" t="s">
        <v>295</v>
      </c>
      <c r="B149" s="41" t="s">
        <v>130</v>
      </c>
      <c r="C149" s="41" t="s">
        <v>41</v>
      </c>
      <c r="D149" s="41" t="s">
        <v>57</v>
      </c>
      <c r="E149" s="41" t="s">
        <v>43</v>
      </c>
      <c r="F149" s="41" t="s">
        <v>125</v>
      </c>
      <c r="G149" s="41" t="s">
        <v>45</v>
      </c>
      <c r="H149" s="41" t="s">
        <v>112</v>
      </c>
      <c r="I149" s="41" t="s">
        <v>47</v>
      </c>
      <c r="J149" s="4">
        <v>46102</v>
      </c>
      <c r="K149" s="4">
        <v>46122</v>
      </c>
      <c r="L149" s="4">
        <v>46124</v>
      </c>
      <c r="M149" s="17">
        <f t="shared" si="14"/>
        <v>46113</v>
      </c>
      <c r="N149" s="17" t="str">
        <f t="shared" si="15"/>
        <v>Apr</v>
      </c>
      <c r="O149" s="10">
        <f t="shared" si="16"/>
        <v>4</v>
      </c>
      <c r="P149" s="10">
        <f>TravelExpenseTable[[#This Row],[Departure_Date]]-TravelExpenseTable[[#This Row],[Booking_Date]]</f>
        <v>20</v>
      </c>
      <c r="Q149" s="10">
        <f>TravelExpenseTable[[#This Row],[Return_Date]]-TravelExpenseTable[[#This Row],[Departure_Date]]</f>
        <v>2</v>
      </c>
      <c r="R149" s="41" t="s">
        <v>102</v>
      </c>
      <c r="S149" s="41" t="s">
        <v>71</v>
      </c>
      <c r="T149" s="5">
        <v>365.03</v>
      </c>
      <c r="U149" s="5">
        <v>465.55</v>
      </c>
      <c r="V149" s="5">
        <v>169.66</v>
      </c>
      <c r="W149" s="5">
        <v>179.2</v>
      </c>
      <c r="X149" s="5">
        <v>13.87</v>
      </c>
      <c r="Y149" s="6">
        <f>SUM(TravelExpenseTable[[#This Row],[Airfare_USD]],,,TravelExpenseTable[[#This Row],[Hotel_USD]],TravelExpenseTable[[#This Row],[Ground_Transport_USD]],TravelExpenseTable[[#This Row],[Meals_USD]],TravelExpenseTable[[#This Row],[Other_Expenses_USD]])</f>
        <v>1193.3099999999997</v>
      </c>
      <c r="Z149" s="5">
        <v>1213.07</v>
      </c>
      <c r="AA149" s="6">
        <f>TravelExpenseTable[[#This Row],[Budget_USD]]-TravelExpenseTable[[#This Row],[Total_Actual_USD]]</f>
        <v>19.760000000000218</v>
      </c>
      <c r="AB149" s="13">
        <f>TravelExpenseTable[[#This Row],[Budget_Variance_USD]]/TravelExpenseTable[[#This Row],[Budget_USD]]</f>
        <v>1.62892495898837E-2</v>
      </c>
      <c r="AC149" s="6" t="str">
        <f t="shared" si="17"/>
        <v>Within Budget</v>
      </c>
      <c r="AD149" s="41" t="s">
        <v>50</v>
      </c>
      <c r="AE149" s="41" t="s">
        <v>92</v>
      </c>
      <c r="AF149" s="41" t="s">
        <v>52</v>
      </c>
      <c r="AG149" s="41" t="s">
        <v>53</v>
      </c>
      <c r="AH149" s="41"/>
    </row>
    <row r="150" spans="1:34">
      <c r="A150" s="41" t="s">
        <v>296</v>
      </c>
      <c r="B150" s="41" t="s">
        <v>73</v>
      </c>
      <c r="C150" s="41" t="s">
        <v>66</v>
      </c>
      <c r="D150" s="41" t="s">
        <v>67</v>
      </c>
      <c r="E150" s="41" t="s">
        <v>43</v>
      </c>
      <c r="F150" s="41" t="s">
        <v>125</v>
      </c>
      <c r="G150" s="41" t="s">
        <v>45</v>
      </c>
      <c r="H150" s="41" t="s">
        <v>112</v>
      </c>
      <c r="I150" s="41" t="s">
        <v>81</v>
      </c>
      <c r="J150" s="4">
        <v>46102</v>
      </c>
      <c r="K150" s="4">
        <v>46121</v>
      </c>
      <c r="L150" s="4">
        <v>46123</v>
      </c>
      <c r="M150" s="17">
        <f t="shared" si="14"/>
        <v>46113</v>
      </c>
      <c r="N150" s="17" t="str">
        <f t="shared" si="15"/>
        <v>Apr</v>
      </c>
      <c r="O150" s="10">
        <f t="shared" si="16"/>
        <v>4</v>
      </c>
      <c r="P150" s="10">
        <f>TravelExpenseTable[[#This Row],[Departure_Date]]-TravelExpenseTable[[#This Row],[Booking_Date]]</f>
        <v>19</v>
      </c>
      <c r="Q150" s="10">
        <f>TravelExpenseTable[[#This Row],[Return_Date]]-TravelExpenseTable[[#This Row],[Departure_Date]]</f>
        <v>2</v>
      </c>
      <c r="R150" s="41" t="s">
        <v>48</v>
      </c>
      <c r="S150" s="41" t="s">
        <v>82</v>
      </c>
      <c r="T150" s="5">
        <v>500.03</v>
      </c>
      <c r="U150" s="5">
        <v>457.62</v>
      </c>
      <c r="V150" s="5">
        <v>196.01</v>
      </c>
      <c r="W150" s="5">
        <v>139.35</v>
      </c>
      <c r="X150" s="5">
        <v>84.92</v>
      </c>
      <c r="Y150" s="6">
        <f>SUM(TravelExpenseTable[[#This Row],[Airfare_USD]],,,TravelExpenseTable[[#This Row],[Hotel_USD]],TravelExpenseTable[[#This Row],[Ground_Transport_USD]],TravelExpenseTable[[#This Row],[Meals_USD]],TravelExpenseTable[[#This Row],[Other_Expenses_USD]])</f>
        <v>1377.9299999999998</v>
      </c>
      <c r="Z150" s="5">
        <v>1370.89</v>
      </c>
      <c r="AA150" s="6">
        <f>TravelExpenseTable[[#This Row],[Budget_USD]]-TravelExpenseTable[[#This Row],[Total_Actual_USD]]</f>
        <v>-7.0399999999997362</v>
      </c>
      <c r="AB150" s="13">
        <f>TravelExpenseTable[[#This Row],[Budget_Variance_USD]]/TravelExpenseTable[[#This Row],[Budget_USD]]</f>
        <v>-5.1353500280837527E-3</v>
      </c>
      <c r="AC150" s="6" t="str">
        <f t="shared" si="17"/>
        <v>Over Budget</v>
      </c>
      <c r="AD150" s="41" t="s">
        <v>50</v>
      </c>
      <c r="AE150" s="41" t="s">
        <v>50</v>
      </c>
      <c r="AF150" s="41" t="s">
        <v>53</v>
      </c>
      <c r="AG150" s="41" t="s">
        <v>53</v>
      </c>
      <c r="AH150" s="41"/>
    </row>
    <row r="151" spans="1:34">
      <c r="A151" s="41" t="s">
        <v>297</v>
      </c>
      <c r="B151" s="41" t="s">
        <v>100</v>
      </c>
      <c r="C151" s="41" t="s">
        <v>41</v>
      </c>
      <c r="D151" s="41" t="s">
        <v>57</v>
      </c>
      <c r="E151" s="41" t="s">
        <v>43</v>
      </c>
      <c r="F151" s="41" t="s">
        <v>172</v>
      </c>
      <c r="G151" s="41" t="s">
        <v>59</v>
      </c>
      <c r="H151" s="41" t="s">
        <v>97</v>
      </c>
      <c r="I151" s="41" t="s">
        <v>81</v>
      </c>
      <c r="J151" s="4">
        <v>46066</v>
      </c>
      <c r="K151" s="4">
        <v>46084</v>
      </c>
      <c r="L151" s="4">
        <v>46089</v>
      </c>
      <c r="M151" s="17">
        <f t="shared" si="14"/>
        <v>46082</v>
      </c>
      <c r="N151" s="17" t="str">
        <f t="shared" si="15"/>
        <v>Mar</v>
      </c>
      <c r="O151" s="10">
        <f t="shared" si="16"/>
        <v>3</v>
      </c>
      <c r="P151" s="10">
        <f>TravelExpenseTable[[#This Row],[Departure_Date]]-TravelExpenseTable[[#This Row],[Booking_Date]]</f>
        <v>18</v>
      </c>
      <c r="Q151" s="10">
        <f>TravelExpenseTable[[#This Row],[Return_Date]]-TravelExpenseTable[[#This Row],[Departure_Date]]</f>
        <v>5</v>
      </c>
      <c r="R151" s="41" t="s">
        <v>188</v>
      </c>
      <c r="S151" s="41" t="s">
        <v>71</v>
      </c>
      <c r="T151" s="5">
        <v>785.68</v>
      </c>
      <c r="U151" s="5">
        <v>1304.17</v>
      </c>
      <c r="V151" s="5">
        <v>195.51</v>
      </c>
      <c r="W151" s="5">
        <v>545.58000000000004</v>
      </c>
      <c r="X151" s="5">
        <v>32.28</v>
      </c>
      <c r="Y151" s="6">
        <f>SUM(TravelExpenseTable[[#This Row],[Airfare_USD]],,,TravelExpenseTable[[#This Row],[Hotel_USD]],TravelExpenseTable[[#This Row],[Ground_Transport_USD]],TravelExpenseTable[[#This Row],[Meals_USD]],TravelExpenseTable[[#This Row],[Other_Expenses_USD]])</f>
        <v>2863.22</v>
      </c>
      <c r="Z151" s="5">
        <v>3210.53</v>
      </c>
      <c r="AA151" s="6">
        <f>TravelExpenseTable[[#This Row],[Budget_USD]]-TravelExpenseTable[[#This Row],[Total_Actual_USD]]</f>
        <v>347.3100000000004</v>
      </c>
      <c r="AB151" s="13">
        <f>TravelExpenseTable[[#This Row],[Budget_Variance_USD]]/TravelExpenseTable[[#This Row],[Budget_USD]]</f>
        <v>0.108178400451016</v>
      </c>
      <c r="AC151" s="6" t="str">
        <f t="shared" si="17"/>
        <v>Within Budget</v>
      </c>
      <c r="AD151" s="41" t="s">
        <v>50</v>
      </c>
      <c r="AE151" s="41" t="s">
        <v>83</v>
      </c>
      <c r="AF151" s="41" t="s">
        <v>52</v>
      </c>
      <c r="AG151" s="41" t="s">
        <v>53</v>
      </c>
      <c r="AH151" s="41"/>
    </row>
    <row r="152" spans="1:34">
      <c r="A152" s="55" t="s">
        <v>298</v>
      </c>
      <c r="B152" s="55" t="s">
        <v>40</v>
      </c>
      <c r="C152" s="55" t="s">
        <v>41</v>
      </c>
      <c r="D152" s="55" t="s">
        <v>42</v>
      </c>
      <c r="E152" s="55" t="s">
        <v>43</v>
      </c>
      <c r="F152" s="55" t="s">
        <v>157</v>
      </c>
      <c r="G152" s="55" t="s">
        <v>45</v>
      </c>
      <c r="H152" s="55" t="s">
        <v>108</v>
      </c>
      <c r="I152" s="55" t="s">
        <v>81</v>
      </c>
      <c r="J152" s="56">
        <v>46098</v>
      </c>
      <c r="K152" s="56">
        <v>46106</v>
      </c>
      <c r="L152" s="56">
        <v>46109</v>
      </c>
      <c r="M152" s="57">
        <f t="shared" si="14"/>
        <v>46082</v>
      </c>
      <c r="N152" s="57" t="str">
        <f t="shared" si="15"/>
        <v>Mar</v>
      </c>
      <c r="O152" s="58">
        <f t="shared" si="16"/>
        <v>3</v>
      </c>
      <c r="P152" s="58">
        <f>TravelExpenseTable[[#This Row],[Departure_Date]]-TravelExpenseTable[[#This Row],[Booking_Date]]</f>
        <v>8</v>
      </c>
      <c r="Q152" s="58">
        <f>TravelExpenseTable[[#This Row],[Return_Date]]-TravelExpenseTable[[#This Row],[Departure_Date]]</f>
        <v>3</v>
      </c>
      <c r="R152" s="55" t="s">
        <v>102</v>
      </c>
      <c r="S152" s="55" t="s">
        <v>71</v>
      </c>
      <c r="T152" s="59">
        <v>690.88</v>
      </c>
      <c r="U152" s="59">
        <v>718.9</v>
      </c>
      <c r="V152" s="59">
        <v>126.19</v>
      </c>
      <c r="W152" s="59">
        <v>271.5</v>
      </c>
      <c r="X152" s="59">
        <v>88.8</v>
      </c>
      <c r="Y152" s="60">
        <f>SUM(TravelExpenseTable[[#This Row],[Airfare_USD]],,,TravelExpenseTable[[#This Row],[Hotel_USD]],TravelExpenseTable[[#This Row],[Ground_Transport_USD]],TravelExpenseTable[[#This Row],[Meals_USD]],TravelExpenseTable[[#This Row],[Other_Expenses_USD]])</f>
        <v>1896.27</v>
      </c>
      <c r="Z152" s="59">
        <v>2108.2399999999998</v>
      </c>
      <c r="AA152" s="60">
        <f>TravelExpenseTable[[#This Row],[Budget_USD]]-TravelExpenseTable[[#This Row],[Total_Actual_USD]]</f>
        <v>211.9699999999998</v>
      </c>
      <c r="AB152" s="61">
        <f>TravelExpenseTable[[#This Row],[Budget_Variance_USD]]/TravelExpenseTable[[#This Row],[Budget_USD]]</f>
        <v>0.10054358137593435</v>
      </c>
      <c r="AC152" s="60" t="str">
        <f t="shared" si="17"/>
        <v>Within Budget</v>
      </c>
      <c r="AD152" s="55" t="s">
        <v>50</v>
      </c>
      <c r="AE152" s="55" t="s">
        <v>51</v>
      </c>
      <c r="AF152" s="55" t="s">
        <v>53</v>
      </c>
      <c r="AG152" s="55" t="s">
        <v>52</v>
      </c>
      <c r="AH152" s="55" t="s">
        <v>63</v>
      </c>
    </row>
    <row r="153" spans="1:34">
      <c r="A153" s="55" t="s">
        <v>299</v>
      </c>
      <c r="B153" s="55" t="s">
        <v>300</v>
      </c>
      <c r="C153" s="55" t="s">
        <v>41</v>
      </c>
      <c r="D153" s="55" t="s">
        <v>57</v>
      </c>
      <c r="E153" s="55" t="s">
        <v>43</v>
      </c>
      <c r="F153" s="55" t="s">
        <v>96</v>
      </c>
      <c r="G153" s="55" t="s">
        <v>45</v>
      </c>
      <c r="H153" s="55" t="s">
        <v>126</v>
      </c>
      <c r="I153" s="55" t="s">
        <v>81</v>
      </c>
      <c r="J153" s="56">
        <v>46114</v>
      </c>
      <c r="K153" s="56">
        <v>46131</v>
      </c>
      <c r="L153" s="56">
        <v>46132</v>
      </c>
      <c r="M153" s="57">
        <f t="shared" si="14"/>
        <v>46113</v>
      </c>
      <c r="N153" s="57" t="str">
        <f t="shared" si="15"/>
        <v>Apr</v>
      </c>
      <c r="O153" s="58">
        <f t="shared" si="16"/>
        <v>4</v>
      </c>
      <c r="P153" s="58">
        <f>TravelExpenseTable[[#This Row],[Departure_Date]]-TravelExpenseTable[[#This Row],[Booking_Date]]</f>
        <v>17</v>
      </c>
      <c r="Q153" s="58">
        <f>TravelExpenseTable[[#This Row],[Return_Date]]-TravelExpenseTable[[#This Row],[Departure_Date]]</f>
        <v>1</v>
      </c>
      <c r="R153" s="55" t="s">
        <v>102</v>
      </c>
      <c r="S153" s="55" t="s">
        <v>71</v>
      </c>
      <c r="T153" s="59">
        <v>584.66</v>
      </c>
      <c r="U153" s="59">
        <v>389.8</v>
      </c>
      <c r="V153" s="59">
        <v>172.26</v>
      </c>
      <c r="W153" s="59">
        <v>61.24</v>
      </c>
      <c r="X153" s="59">
        <v>95.37</v>
      </c>
      <c r="Y153" s="60">
        <f>SUM(TravelExpenseTable[[#This Row],[Airfare_USD]],,,TravelExpenseTable[[#This Row],[Hotel_USD]],TravelExpenseTable[[#This Row],[Ground_Transport_USD]],TravelExpenseTable[[#This Row],[Meals_USD]],TravelExpenseTable[[#This Row],[Other_Expenses_USD]])</f>
        <v>1303.33</v>
      </c>
      <c r="Z153" s="59">
        <v>1240.05</v>
      </c>
      <c r="AA153" s="60">
        <f>TravelExpenseTable[[#This Row],[Budget_USD]]-TravelExpenseTable[[#This Row],[Total_Actual_USD]]</f>
        <v>-63.279999999999973</v>
      </c>
      <c r="AB153" s="61">
        <f>TravelExpenseTable[[#This Row],[Budget_Variance_USD]]/TravelExpenseTable[[#This Row],[Budget_USD]]</f>
        <v>-5.1030200395145338E-2</v>
      </c>
      <c r="AC153" s="60" t="str">
        <f t="shared" si="17"/>
        <v>Over Budget</v>
      </c>
      <c r="AD153" s="55" t="s">
        <v>50</v>
      </c>
      <c r="AE153" s="55" t="s">
        <v>92</v>
      </c>
      <c r="AF153" s="55" t="s">
        <v>53</v>
      </c>
      <c r="AG153" s="55" t="s">
        <v>52</v>
      </c>
      <c r="AH153" s="55" t="s">
        <v>63</v>
      </c>
    </row>
    <row r="154" spans="1:34">
      <c r="A154" s="41" t="s">
        <v>301</v>
      </c>
      <c r="B154" s="41" t="s">
        <v>285</v>
      </c>
      <c r="C154" s="41" t="s">
        <v>95</v>
      </c>
      <c r="D154" s="41" t="s">
        <v>111</v>
      </c>
      <c r="E154" s="41" t="s">
        <v>43</v>
      </c>
      <c r="F154" s="41" t="s">
        <v>90</v>
      </c>
      <c r="G154" s="41" t="s">
        <v>45</v>
      </c>
      <c r="H154" s="41" t="s">
        <v>108</v>
      </c>
      <c r="I154" s="41" t="s">
        <v>60</v>
      </c>
      <c r="J154" s="4">
        <v>46060</v>
      </c>
      <c r="K154" s="4">
        <v>46086</v>
      </c>
      <c r="L154" s="4">
        <v>46090</v>
      </c>
      <c r="M154" s="17">
        <f t="shared" si="14"/>
        <v>46082</v>
      </c>
      <c r="N154" s="17" t="str">
        <f t="shared" si="15"/>
        <v>Mar</v>
      </c>
      <c r="O154" s="10">
        <f t="shared" si="16"/>
        <v>3</v>
      </c>
      <c r="P154" s="10">
        <f>TravelExpenseTable[[#This Row],[Departure_Date]]-TravelExpenseTable[[#This Row],[Booking_Date]]</f>
        <v>26</v>
      </c>
      <c r="Q154" s="10">
        <f>TravelExpenseTable[[#This Row],[Return_Date]]-TravelExpenseTable[[#This Row],[Departure_Date]]</f>
        <v>4</v>
      </c>
      <c r="R154" s="41" t="s">
        <v>102</v>
      </c>
      <c r="S154" s="41" t="s">
        <v>82</v>
      </c>
      <c r="T154" s="5">
        <v>573.21</v>
      </c>
      <c r="U154" s="5">
        <v>812.38</v>
      </c>
      <c r="V154" s="5">
        <v>148.58000000000001</v>
      </c>
      <c r="W154" s="5">
        <v>234.95</v>
      </c>
      <c r="X154" s="5">
        <v>119.24</v>
      </c>
      <c r="Y154" s="6">
        <f>SUM(TravelExpenseTable[[#This Row],[Airfare_USD]],,,TravelExpenseTable[[#This Row],[Hotel_USD]],TravelExpenseTable[[#This Row],[Ground_Transport_USD]],TravelExpenseTable[[#This Row],[Meals_USD]],TravelExpenseTable[[#This Row],[Other_Expenses_USD]])</f>
        <v>1888.3600000000001</v>
      </c>
      <c r="Z154" s="5">
        <v>1735.8</v>
      </c>
      <c r="AA154" s="6">
        <f>TravelExpenseTable[[#This Row],[Budget_USD]]-TravelExpenseTable[[#This Row],[Total_Actual_USD]]</f>
        <v>-152.56000000000017</v>
      </c>
      <c r="AB154" s="13">
        <f>TravelExpenseTable[[#This Row],[Budget_Variance_USD]]/TravelExpenseTable[[#This Row],[Budget_USD]]</f>
        <v>-8.789030994354198E-2</v>
      </c>
      <c r="AC154" s="6" t="str">
        <f t="shared" si="17"/>
        <v>Over Budget</v>
      </c>
      <c r="AD154" s="41" t="s">
        <v>50</v>
      </c>
      <c r="AE154" s="41" t="s">
        <v>83</v>
      </c>
      <c r="AF154" s="41" t="s">
        <v>53</v>
      </c>
      <c r="AG154" s="41" t="s">
        <v>53</v>
      </c>
      <c r="AH154" s="41"/>
    </row>
    <row r="155" spans="1:34">
      <c r="A155" s="41" t="s">
        <v>302</v>
      </c>
      <c r="B155" s="41" t="s">
        <v>147</v>
      </c>
      <c r="C155" s="41" t="s">
        <v>41</v>
      </c>
      <c r="D155" s="41" t="s">
        <v>137</v>
      </c>
      <c r="E155" s="41" t="s">
        <v>43</v>
      </c>
      <c r="F155" s="41" t="s">
        <v>133</v>
      </c>
      <c r="G155" s="41" t="s">
        <v>45</v>
      </c>
      <c r="H155" s="41" t="s">
        <v>69</v>
      </c>
      <c r="I155" s="41" t="s">
        <v>81</v>
      </c>
      <c r="J155" s="4">
        <v>46088</v>
      </c>
      <c r="K155" s="4">
        <v>46108</v>
      </c>
      <c r="L155" s="4">
        <v>46112</v>
      </c>
      <c r="M155" s="17">
        <f t="shared" si="14"/>
        <v>46082</v>
      </c>
      <c r="N155" s="17" t="str">
        <f t="shared" si="15"/>
        <v>Mar</v>
      </c>
      <c r="O155" s="10">
        <f t="shared" si="16"/>
        <v>3</v>
      </c>
      <c r="P155" s="10">
        <f>TravelExpenseTable[[#This Row],[Departure_Date]]-TravelExpenseTable[[#This Row],[Booking_Date]]</f>
        <v>20</v>
      </c>
      <c r="Q155" s="10">
        <f>TravelExpenseTable[[#This Row],[Return_Date]]-TravelExpenseTable[[#This Row],[Departure_Date]]</f>
        <v>4</v>
      </c>
      <c r="R155" s="41" t="s">
        <v>102</v>
      </c>
      <c r="S155" s="41" t="s">
        <v>91</v>
      </c>
      <c r="T155" s="5">
        <v>648.98</v>
      </c>
      <c r="U155" s="5">
        <v>629.74</v>
      </c>
      <c r="V155" s="5">
        <v>63.49</v>
      </c>
      <c r="W155" s="5">
        <v>327.9</v>
      </c>
      <c r="X155" s="5">
        <v>56.53</v>
      </c>
      <c r="Y155" s="6">
        <f>SUM(TravelExpenseTable[[#This Row],[Airfare_USD]],,,TravelExpenseTable[[#This Row],[Hotel_USD]],TravelExpenseTable[[#This Row],[Ground_Transport_USD]],TravelExpenseTable[[#This Row],[Meals_USD]],TravelExpenseTable[[#This Row],[Other_Expenses_USD]])</f>
        <v>1726.64</v>
      </c>
      <c r="Z155" s="5">
        <v>1581.98</v>
      </c>
      <c r="AA155" s="6">
        <f>TravelExpenseTable[[#This Row],[Budget_USD]]-TravelExpenseTable[[#This Row],[Total_Actual_USD]]</f>
        <v>-144.66000000000008</v>
      </c>
      <c r="AB155" s="13">
        <f>TravelExpenseTable[[#This Row],[Budget_Variance_USD]]/TravelExpenseTable[[#This Row],[Budget_USD]]</f>
        <v>-9.1442369688618116E-2</v>
      </c>
      <c r="AC155" s="6" t="str">
        <f t="shared" si="17"/>
        <v>Over Budget</v>
      </c>
      <c r="AD155" s="41" t="s">
        <v>50</v>
      </c>
      <c r="AE155" s="41" t="s">
        <v>50</v>
      </c>
      <c r="AF155" s="41" t="s">
        <v>52</v>
      </c>
      <c r="AG155" s="41" t="s">
        <v>53</v>
      </c>
      <c r="AH155" s="41"/>
    </row>
    <row r="156" spans="1:34">
      <c r="A156" s="55" t="s">
        <v>303</v>
      </c>
      <c r="B156" s="55" t="s">
        <v>40</v>
      </c>
      <c r="C156" s="55" t="s">
        <v>41</v>
      </c>
      <c r="D156" s="55" t="s">
        <v>42</v>
      </c>
      <c r="E156" s="55" t="s">
        <v>43</v>
      </c>
      <c r="F156" s="55" t="s">
        <v>87</v>
      </c>
      <c r="G156" s="55" t="s">
        <v>45</v>
      </c>
      <c r="H156" s="55" t="s">
        <v>46</v>
      </c>
      <c r="I156" s="55" t="s">
        <v>81</v>
      </c>
      <c r="J156" s="56">
        <v>46044</v>
      </c>
      <c r="K156" s="56">
        <v>46057</v>
      </c>
      <c r="L156" s="56">
        <v>46058</v>
      </c>
      <c r="M156" s="57">
        <f t="shared" si="14"/>
        <v>46054</v>
      </c>
      <c r="N156" s="57" t="str">
        <f t="shared" si="15"/>
        <v>Feb</v>
      </c>
      <c r="O156" s="58">
        <f t="shared" si="16"/>
        <v>2</v>
      </c>
      <c r="P156" s="58">
        <f>TravelExpenseTable[[#This Row],[Departure_Date]]-TravelExpenseTable[[#This Row],[Booking_Date]]</f>
        <v>13</v>
      </c>
      <c r="Q156" s="58">
        <f>TravelExpenseTable[[#This Row],[Return_Date]]-TravelExpenseTable[[#This Row],[Departure_Date]]</f>
        <v>1</v>
      </c>
      <c r="R156" s="55" t="s">
        <v>48</v>
      </c>
      <c r="S156" s="55" t="s">
        <v>62</v>
      </c>
      <c r="T156" s="59">
        <v>698.25</v>
      </c>
      <c r="U156" s="59">
        <v>163.72999999999999</v>
      </c>
      <c r="V156" s="59">
        <v>169.45</v>
      </c>
      <c r="W156" s="59">
        <v>113.1</v>
      </c>
      <c r="X156" s="59">
        <v>71.319999999999993</v>
      </c>
      <c r="Y156" s="60">
        <f>SUM(TravelExpenseTable[[#This Row],[Airfare_USD]],,,TravelExpenseTable[[#This Row],[Hotel_USD]],TravelExpenseTable[[#This Row],[Ground_Transport_USD]],TravelExpenseTable[[#This Row],[Meals_USD]],TravelExpenseTable[[#This Row],[Other_Expenses_USD]])</f>
        <v>1215.8499999999999</v>
      </c>
      <c r="Z156" s="59">
        <v>1087.8</v>
      </c>
      <c r="AA156" s="60">
        <f>TravelExpenseTable[[#This Row],[Budget_USD]]-TravelExpenseTable[[#This Row],[Total_Actual_USD]]</f>
        <v>-128.04999999999995</v>
      </c>
      <c r="AB156" s="61">
        <f>TravelExpenseTable[[#This Row],[Budget_Variance_USD]]/TravelExpenseTable[[#This Row],[Budget_USD]]</f>
        <v>-0.11771465342893911</v>
      </c>
      <c r="AC156" s="60" t="str">
        <f t="shared" si="17"/>
        <v>Over Budget</v>
      </c>
      <c r="AD156" s="55" t="s">
        <v>50</v>
      </c>
      <c r="AE156" s="55" t="s">
        <v>83</v>
      </c>
      <c r="AF156" s="55" t="s">
        <v>53</v>
      </c>
      <c r="AG156" s="55" t="s">
        <v>52</v>
      </c>
      <c r="AH156" s="55" t="s">
        <v>117</v>
      </c>
    </row>
    <row r="157" spans="1:34">
      <c r="A157" s="41" t="s">
        <v>304</v>
      </c>
      <c r="B157" s="41" t="s">
        <v>167</v>
      </c>
      <c r="C157" s="41" t="s">
        <v>41</v>
      </c>
      <c r="D157" s="41" t="s">
        <v>107</v>
      </c>
      <c r="E157" s="41" t="s">
        <v>43</v>
      </c>
      <c r="F157" s="41" t="s">
        <v>120</v>
      </c>
      <c r="G157" s="41" t="s">
        <v>59</v>
      </c>
      <c r="H157" s="41" t="s">
        <v>108</v>
      </c>
      <c r="I157" s="41" t="s">
        <v>81</v>
      </c>
      <c r="J157" s="4">
        <v>46158</v>
      </c>
      <c r="K157" s="4">
        <v>46167</v>
      </c>
      <c r="L157" s="4">
        <v>46171</v>
      </c>
      <c r="M157" s="17">
        <f t="shared" si="14"/>
        <v>46143</v>
      </c>
      <c r="N157" s="17" t="str">
        <f t="shared" si="15"/>
        <v>May</v>
      </c>
      <c r="O157" s="10">
        <f t="shared" si="16"/>
        <v>5</v>
      </c>
      <c r="P157" s="10">
        <f>TravelExpenseTable[[#This Row],[Departure_Date]]-TravelExpenseTable[[#This Row],[Booking_Date]]</f>
        <v>9</v>
      </c>
      <c r="Q157" s="10">
        <f>TravelExpenseTable[[#This Row],[Return_Date]]-TravelExpenseTable[[#This Row],[Departure_Date]]</f>
        <v>4</v>
      </c>
      <c r="R157" s="41" t="s">
        <v>102</v>
      </c>
      <c r="S157" s="41" t="s">
        <v>138</v>
      </c>
      <c r="T157" s="5">
        <v>767.84</v>
      </c>
      <c r="U157" s="5">
        <v>1353.53</v>
      </c>
      <c r="V157" s="5">
        <v>125.57</v>
      </c>
      <c r="W157" s="5">
        <v>267.55</v>
      </c>
      <c r="X157" s="5">
        <v>72.099999999999994</v>
      </c>
      <c r="Y157" s="6">
        <f>SUM(TravelExpenseTable[[#This Row],[Airfare_USD]],,,TravelExpenseTable[[#This Row],[Hotel_USD]],TravelExpenseTable[[#This Row],[Ground_Transport_USD]],TravelExpenseTable[[#This Row],[Meals_USD]],TravelExpenseTable[[#This Row],[Other_Expenses_USD]])</f>
        <v>2586.59</v>
      </c>
      <c r="Z157" s="5">
        <v>2808.74</v>
      </c>
      <c r="AA157" s="6">
        <f>TravelExpenseTable[[#This Row],[Budget_USD]]-TravelExpenseTable[[#This Row],[Total_Actual_USD]]</f>
        <v>222.14999999999964</v>
      </c>
      <c r="AB157" s="13">
        <f>TravelExpenseTable[[#This Row],[Budget_Variance_USD]]/TravelExpenseTable[[#This Row],[Budget_USD]]</f>
        <v>7.9092404423335608E-2</v>
      </c>
      <c r="AC157" s="6" t="str">
        <f t="shared" si="17"/>
        <v>Within Budget</v>
      </c>
      <c r="AD157" s="41" t="s">
        <v>50</v>
      </c>
      <c r="AE157" s="41" t="s">
        <v>50</v>
      </c>
      <c r="AF157" s="41" t="s">
        <v>52</v>
      </c>
      <c r="AG157" s="41" t="s">
        <v>53</v>
      </c>
      <c r="AH157" s="41"/>
    </row>
    <row r="158" spans="1:34">
      <c r="A158" s="41" t="s">
        <v>305</v>
      </c>
      <c r="B158" s="41" t="s">
        <v>55</v>
      </c>
      <c r="C158" s="41" t="s">
        <v>56</v>
      </c>
      <c r="D158" s="41" t="s">
        <v>57</v>
      </c>
      <c r="E158" s="41" t="s">
        <v>43</v>
      </c>
      <c r="F158" s="41" t="s">
        <v>96</v>
      </c>
      <c r="G158" s="41" t="s">
        <v>45</v>
      </c>
      <c r="H158" s="41" t="s">
        <v>108</v>
      </c>
      <c r="I158" s="41" t="s">
        <v>76</v>
      </c>
      <c r="J158" s="4">
        <v>45999</v>
      </c>
      <c r="K158" s="4">
        <v>46043</v>
      </c>
      <c r="L158" s="4">
        <v>46045</v>
      </c>
      <c r="M158" s="17">
        <f t="shared" si="14"/>
        <v>46023</v>
      </c>
      <c r="N158" s="17" t="str">
        <f t="shared" si="15"/>
        <v>Jan</v>
      </c>
      <c r="O158" s="10">
        <f t="shared" si="16"/>
        <v>1</v>
      </c>
      <c r="P158" s="10">
        <f>TravelExpenseTable[[#This Row],[Departure_Date]]-TravelExpenseTable[[#This Row],[Booking_Date]]</f>
        <v>44</v>
      </c>
      <c r="Q158" s="10">
        <f>TravelExpenseTable[[#This Row],[Return_Date]]-TravelExpenseTable[[#This Row],[Departure_Date]]</f>
        <v>2</v>
      </c>
      <c r="R158" s="41" t="s">
        <v>70</v>
      </c>
      <c r="S158" s="41" t="s">
        <v>82</v>
      </c>
      <c r="T158" s="5">
        <v>602.96</v>
      </c>
      <c r="U158" s="5">
        <v>457.08</v>
      </c>
      <c r="V158" s="5">
        <v>125.67</v>
      </c>
      <c r="W158" s="5">
        <v>130.16</v>
      </c>
      <c r="X158" s="5">
        <v>103.3</v>
      </c>
      <c r="Y158" s="6">
        <f>SUM(TravelExpenseTable[[#This Row],[Airfare_USD]],,,TravelExpenseTable[[#This Row],[Hotel_USD]],TravelExpenseTable[[#This Row],[Ground_Transport_USD]],TravelExpenseTable[[#This Row],[Meals_USD]],TravelExpenseTable[[#This Row],[Other_Expenses_USD]])</f>
        <v>1419.17</v>
      </c>
      <c r="Z158" s="5">
        <v>1598.7</v>
      </c>
      <c r="AA158" s="6">
        <f>TravelExpenseTable[[#This Row],[Budget_USD]]-TravelExpenseTable[[#This Row],[Total_Actual_USD]]</f>
        <v>179.52999999999997</v>
      </c>
      <c r="AB158" s="13">
        <f>TravelExpenseTable[[#This Row],[Budget_Variance_USD]]/TravelExpenseTable[[#This Row],[Budget_USD]]</f>
        <v>0.11229749171201599</v>
      </c>
      <c r="AC158" s="6" t="str">
        <f t="shared" si="17"/>
        <v>Within Budget</v>
      </c>
      <c r="AD158" s="41" t="s">
        <v>50</v>
      </c>
      <c r="AE158" s="41" t="s">
        <v>83</v>
      </c>
      <c r="AF158" s="41" t="s">
        <v>52</v>
      </c>
      <c r="AG158" s="41" t="s">
        <v>53</v>
      </c>
      <c r="AH158" s="41"/>
    </row>
    <row r="159" spans="1:34">
      <c r="A159" s="41" t="s">
        <v>306</v>
      </c>
      <c r="B159" s="41" t="s">
        <v>179</v>
      </c>
      <c r="C159" s="41" t="s">
        <v>95</v>
      </c>
      <c r="D159" s="41" t="s">
        <v>86</v>
      </c>
      <c r="E159" s="41" t="s">
        <v>43</v>
      </c>
      <c r="F159" s="41" t="s">
        <v>125</v>
      </c>
      <c r="G159" s="41" t="s">
        <v>45</v>
      </c>
      <c r="H159" s="41" t="s">
        <v>46</v>
      </c>
      <c r="I159" s="41" t="s">
        <v>47</v>
      </c>
      <c r="J159" s="4">
        <v>46103</v>
      </c>
      <c r="K159" s="4">
        <v>46117</v>
      </c>
      <c r="L159" s="4">
        <v>46119</v>
      </c>
      <c r="M159" s="17">
        <f t="shared" si="14"/>
        <v>46113</v>
      </c>
      <c r="N159" s="17" t="str">
        <f t="shared" si="15"/>
        <v>Apr</v>
      </c>
      <c r="O159" s="10">
        <f t="shared" si="16"/>
        <v>4</v>
      </c>
      <c r="P159" s="10">
        <f>TravelExpenseTable[[#This Row],[Departure_Date]]-TravelExpenseTable[[#This Row],[Booking_Date]]</f>
        <v>14</v>
      </c>
      <c r="Q159" s="10">
        <f>TravelExpenseTable[[#This Row],[Return_Date]]-TravelExpenseTable[[#This Row],[Departure_Date]]</f>
        <v>2</v>
      </c>
      <c r="R159" s="41" t="s">
        <v>121</v>
      </c>
      <c r="S159" s="41" t="s">
        <v>77</v>
      </c>
      <c r="T159" s="5">
        <v>229.75</v>
      </c>
      <c r="U159" s="5">
        <v>687.67</v>
      </c>
      <c r="V159" s="5">
        <v>88.01</v>
      </c>
      <c r="W159" s="5">
        <v>145.41</v>
      </c>
      <c r="X159" s="5">
        <v>74.16</v>
      </c>
      <c r="Y159" s="6">
        <f>SUM(TravelExpenseTable[[#This Row],[Airfare_USD]],,,TravelExpenseTable[[#This Row],[Hotel_USD]],TravelExpenseTable[[#This Row],[Ground_Transport_USD]],TravelExpenseTable[[#This Row],[Meals_USD]],TravelExpenseTable[[#This Row],[Other_Expenses_USD]])</f>
        <v>1225</v>
      </c>
      <c r="Z159" s="5">
        <v>1280.3800000000001</v>
      </c>
      <c r="AA159" s="6">
        <f>TravelExpenseTable[[#This Row],[Budget_USD]]-TravelExpenseTable[[#This Row],[Total_Actual_USD]]</f>
        <v>55.380000000000109</v>
      </c>
      <c r="AB159" s="13">
        <f>TravelExpenseTable[[#This Row],[Budget_Variance_USD]]/TravelExpenseTable[[#This Row],[Budget_USD]]</f>
        <v>4.3252784329652218E-2</v>
      </c>
      <c r="AC159" s="6" t="str">
        <f t="shared" si="17"/>
        <v>Within Budget</v>
      </c>
      <c r="AD159" s="41" t="s">
        <v>50</v>
      </c>
      <c r="AE159" s="41" t="s">
        <v>92</v>
      </c>
      <c r="AF159" s="41" t="s">
        <v>52</v>
      </c>
      <c r="AG159" s="41" t="s">
        <v>53</v>
      </c>
      <c r="AH159" s="41"/>
    </row>
    <row r="160" spans="1:34">
      <c r="A160" s="55" t="s">
        <v>307</v>
      </c>
      <c r="B160" s="55" t="s">
        <v>215</v>
      </c>
      <c r="C160" s="55" t="s">
        <v>41</v>
      </c>
      <c r="D160" s="55" t="s">
        <v>107</v>
      </c>
      <c r="E160" s="55" t="s">
        <v>43</v>
      </c>
      <c r="F160" s="55" t="s">
        <v>172</v>
      </c>
      <c r="G160" s="55" t="s">
        <v>59</v>
      </c>
      <c r="H160" s="55" t="s">
        <v>116</v>
      </c>
      <c r="I160" s="55" t="s">
        <v>60</v>
      </c>
      <c r="J160" s="56">
        <v>46060</v>
      </c>
      <c r="K160" s="56">
        <v>46078</v>
      </c>
      <c r="L160" s="56">
        <v>46085</v>
      </c>
      <c r="M160" s="57">
        <f t="shared" si="14"/>
        <v>46054</v>
      </c>
      <c r="N160" s="57" t="str">
        <f t="shared" si="15"/>
        <v>Feb</v>
      </c>
      <c r="O160" s="58">
        <f t="shared" si="16"/>
        <v>2</v>
      </c>
      <c r="P160" s="58">
        <f>TravelExpenseTable[[#This Row],[Departure_Date]]-TravelExpenseTable[[#This Row],[Booking_Date]]</f>
        <v>18</v>
      </c>
      <c r="Q160" s="58">
        <f>TravelExpenseTable[[#This Row],[Return_Date]]-TravelExpenseTable[[#This Row],[Departure_Date]]</f>
        <v>7</v>
      </c>
      <c r="R160" s="55" t="s">
        <v>144</v>
      </c>
      <c r="S160" s="55" t="s">
        <v>71</v>
      </c>
      <c r="T160" s="59">
        <v>1559.58</v>
      </c>
      <c r="U160" s="59">
        <v>1787.57</v>
      </c>
      <c r="V160" s="59">
        <v>211.41</v>
      </c>
      <c r="W160" s="59">
        <v>520.07000000000005</v>
      </c>
      <c r="X160" s="59">
        <v>48.68</v>
      </c>
      <c r="Y160" s="60">
        <f>SUM(TravelExpenseTable[[#This Row],[Airfare_USD]],,,TravelExpenseTable[[#This Row],[Hotel_USD]],TravelExpenseTable[[#This Row],[Ground_Transport_USD]],TravelExpenseTable[[#This Row],[Meals_USD]],TravelExpenseTable[[#This Row],[Other_Expenses_USD]])</f>
        <v>4127.3099999999995</v>
      </c>
      <c r="Z160" s="59">
        <v>3664.3</v>
      </c>
      <c r="AA160" s="60">
        <f>TravelExpenseTable[[#This Row],[Budget_USD]]-TravelExpenseTable[[#This Row],[Total_Actual_USD]]</f>
        <v>-463.00999999999931</v>
      </c>
      <c r="AB160" s="61">
        <f>TravelExpenseTable[[#This Row],[Budget_Variance_USD]]/TravelExpenseTable[[#This Row],[Budget_USD]]</f>
        <v>-0.12635701225336335</v>
      </c>
      <c r="AC160" s="60" t="str">
        <f t="shared" si="17"/>
        <v>Over Budget</v>
      </c>
      <c r="AD160" s="55" t="s">
        <v>51</v>
      </c>
      <c r="AE160" s="55" t="s">
        <v>50</v>
      </c>
      <c r="AF160" s="55" t="s">
        <v>52</v>
      </c>
      <c r="AG160" s="55" t="s">
        <v>52</v>
      </c>
      <c r="AH160" s="55" t="s">
        <v>117</v>
      </c>
    </row>
    <row r="161" spans="1:34">
      <c r="A161" s="41" t="s">
        <v>308</v>
      </c>
      <c r="B161" s="41" t="s">
        <v>115</v>
      </c>
      <c r="C161" s="41" t="s">
        <v>66</v>
      </c>
      <c r="D161" s="41" t="s">
        <v>42</v>
      </c>
      <c r="E161" s="41" t="s">
        <v>43</v>
      </c>
      <c r="F161" s="41" t="s">
        <v>101</v>
      </c>
      <c r="G161" s="41" t="s">
        <v>59</v>
      </c>
      <c r="H161" s="41" t="s">
        <v>69</v>
      </c>
      <c r="I161" s="41" t="s">
        <v>81</v>
      </c>
      <c r="J161" s="4">
        <v>46122</v>
      </c>
      <c r="K161" s="4">
        <v>46162</v>
      </c>
      <c r="L161" s="4">
        <v>46167</v>
      </c>
      <c r="M161" s="17">
        <f t="shared" si="14"/>
        <v>46143</v>
      </c>
      <c r="N161" s="17" t="str">
        <f t="shared" si="15"/>
        <v>May</v>
      </c>
      <c r="O161" s="10">
        <f t="shared" si="16"/>
        <v>5</v>
      </c>
      <c r="P161" s="10">
        <f>TravelExpenseTable[[#This Row],[Departure_Date]]-TravelExpenseTable[[#This Row],[Booking_Date]]</f>
        <v>40</v>
      </c>
      <c r="Q161" s="10">
        <f>TravelExpenseTable[[#This Row],[Return_Date]]-TravelExpenseTable[[#This Row],[Departure_Date]]</f>
        <v>5</v>
      </c>
      <c r="R161" s="41" t="s">
        <v>70</v>
      </c>
      <c r="S161" s="41" t="s">
        <v>82</v>
      </c>
      <c r="T161" s="5">
        <v>871.99</v>
      </c>
      <c r="U161" s="5">
        <v>1701.68</v>
      </c>
      <c r="V161" s="5">
        <v>254.27</v>
      </c>
      <c r="W161" s="5">
        <v>504.21</v>
      </c>
      <c r="X161" s="5">
        <v>170.6</v>
      </c>
      <c r="Y161" s="6">
        <f>SUM(TravelExpenseTable[[#This Row],[Airfare_USD]],,,TravelExpenseTable[[#This Row],[Hotel_USD]],TravelExpenseTable[[#This Row],[Ground_Transport_USD]],TravelExpenseTable[[#This Row],[Meals_USD]],TravelExpenseTable[[#This Row],[Other_Expenses_USD]])</f>
        <v>3502.75</v>
      </c>
      <c r="Z161" s="5">
        <v>3687.37</v>
      </c>
      <c r="AA161" s="6">
        <f>TravelExpenseTable[[#This Row],[Budget_USD]]-TravelExpenseTable[[#This Row],[Total_Actual_USD]]</f>
        <v>184.61999999999989</v>
      </c>
      <c r="AB161" s="13">
        <f>TravelExpenseTable[[#This Row],[Budget_Variance_USD]]/TravelExpenseTable[[#This Row],[Budget_USD]]</f>
        <v>5.0068205794373738E-2</v>
      </c>
      <c r="AC161" s="6" t="str">
        <f t="shared" si="17"/>
        <v>Within Budget</v>
      </c>
      <c r="AD161" s="41" t="s">
        <v>50</v>
      </c>
      <c r="AE161" s="41" t="s">
        <v>83</v>
      </c>
      <c r="AF161" s="41" t="s">
        <v>53</v>
      </c>
      <c r="AG161" s="41" t="s">
        <v>53</v>
      </c>
      <c r="AH161" s="41"/>
    </row>
  </sheetData>
  <phoneticPr fontId="5" type="noConversion"/>
  <conditionalFormatting sqref="AG2:AG161">
    <cfRule type="expression" dxfId="0" priority="1">
      <formula>AG2="Yes"</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HighlightPolicyExceptions">
                <anchor moveWithCells="1" sizeWithCells="1">
                  <from>
                    <xdr:col>35</xdr:col>
                    <xdr:colOff>495300</xdr:colOff>
                    <xdr:row>2</xdr:row>
                    <xdr:rowOff>28575</xdr:rowOff>
                  </from>
                  <to>
                    <xdr:col>39</xdr:col>
                    <xdr:colOff>228600</xdr:colOff>
                    <xdr:row>3</xdr:row>
                    <xdr:rowOff>152400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1139B-71AB-4349-ABDE-40D39E318D7F}">
  <sheetPr codeName="Hoja3"/>
  <dimension ref="A3:F190"/>
  <sheetViews>
    <sheetView showGridLines="0" zoomScale="115" zoomScaleNormal="115" workbookViewId="0">
      <selection activeCell="A153" sqref="A153"/>
    </sheetView>
  </sheetViews>
  <sheetFormatPr baseColWidth="10" defaultRowHeight="14.25"/>
  <cols>
    <col min="1" max="1" width="17.125" bestFit="1" customWidth="1"/>
    <col min="2" max="2" width="20.875" style="21" bestFit="1" customWidth="1"/>
    <col min="3" max="3" width="17.125" bestFit="1" customWidth="1"/>
    <col min="4" max="4" width="25.75" bestFit="1" customWidth="1"/>
    <col min="5" max="5" width="23" bestFit="1" customWidth="1"/>
    <col min="6" max="6" width="20.625" bestFit="1" customWidth="1"/>
    <col min="7" max="7" width="7.125" bestFit="1" customWidth="1"/>
    <col min="8" max="8" width="10.25" bestFit="1" customWidth="1"/>
    <col min="9" max="9" width="6.75" bestFit="1" customWidth="1"/>
    <col min="10" max="10" width="10.75" bestFit="1" customWidth="1"/>
    <col min="11" max="11" width="12.625" bestFit="1" customWidth="1"/>
  </cols>
  <sheetData>
    <row r="3" spans="1:6">
      <c r="A3" s="18" t="s">
        <v>417</v>
      </c>
      <c r="B3" t="s">
        <v>426</v>
      </c>
      <c r="D3" s="18" t="s">
        <v>431</v>
      </c>
      <c r="E3" t="s">
        <v>432</v>
      </c>
      <c r="F3" t="s">
        <v>430</v>
      </c>
    </row>
    <row r="4" spans="1:6">
      <c r="A4" s="19" t="s">
        <v>419</v>
      </c>
      <c r="B4" s="23">
        <v>34906.36</v>
      </c>
      <c r="D4" s="19" t="s">
        <v>63</v>
      </c>
      <c r="E4" s="22">
        <v>59206.85</v>
      </c>
      <c r="F4" s="24">
        <v>23</v>
      </c>
    </row>
    <row r="5" spans="1:6">
      <c r="A5" s="19" t="s">
        <v>420</v>
      </c>
      <c r="B5" s="23">
        <v>52198.909999999996</v>
      </c>
      <c r="D5" s="19" t="s">
        <v>117</v>
      </c>
      <c r="E5" s="22">
        <v>33867.4</v>
      </c>
      <c r="F5" s="24">
        <v>14</v>
      </c>
    </row>
    <row r="6" spans="1:6">
      <c r="A6" s="19" t="s">
        <v>421</v>
      </c>
      <c r="B6" s="23">
        <v>59620.72</v>
      </c>
      <c r="D6" s="19" t="s">
        <v>150</v>
      </c>
      <c r="E6" s="22">
        <v>20793.300000000003</v>
      </c>
      <c r="F6" s="24">
        <v>8</v>
      </c>
    </row>
    <row r="7" spans="1:6">
      <c r="A7" s="19" t="s">
        <v>422</v>
      </c>
      <c r="B7" s="23">
        <v>72361.290000000008</v>
      </c>
      <c r="D7" s="19" t="s">
        <v>418</v>
      </c>
      <c r="E7" s="22">
        <v>113867.55</v>
      </c>
      <c r="F7" s="24">
        <v>45</v>
      </c>
    </row>
    <row r="8" spans="1:6">
      <c r="A8" s="19" t="s">
        <v>423</v>
      </c>
      <c r="B8" s="23">
        <v>75496.499999999985</v>
      </c>
    </row>
    <row r="9" spans="1:6">
      <c r="A9" s="19" t="s">
        <v>424</v>
      </c>
      <c r="B9" s="23">
        <v>54861.219999999987</v>
      </c>
    </row>
    <row r="10" spans="1:6">
      <c r="A10" s="19" t="s">
        <v>418</v>
      </c>
      <c r="B10" s="23">
        <v>349444.99999999994</v>
      </c>
    </row>
    <row r="11" spans="1:6">
      <c r="B11"/>
    </row>
    <row r="12" spans="1:6">
      <c r="B12"/>
    </row>
    <row r="14" spans="1:6">
      <c r="A14" s="18" t="s">
        <v>417</v>
      </c>
      <c r="B14" t="s">
        <v>427</v>
      </c>
    </row>
    <row r="15" spans="1:6">
      <c r="A15" s="19" t="s">
        <v>42</v>
      </c>
      <c r="B15" s="23">
        <v>75661.440000000002</v>
      </c>
    </row>
    <row r="16" spans="1:6">
      <c r="A16" s="19" t="s">
        <v>57</v>
      </c>
      <c r="B16" s="23">
        <v>62606.249999999993</v>
      </c>
    </row>
    <row r="17" spans="1:2">
      <c r="A17" s="19" t="s">
        <v>86</v>
      </c>
      <c r="B17" s="23">
        <v>58960.579999999994</v>
      </c>
    </row>
    <row r="18" spans="1:2">
      <c r="A18" s="19" t="s">
        <v>67</v>
      </c>
      <c r="B18" s="23">
        <v>52222.86</v>
      </c>
    </row>
    <row r="19" spans="1:2">
      <c r="A19" s="19" t="s">
        <v>111</v>
      </c>
      <c r="B19" s="23">
        <v>38509.949999999997</v>
      </c>
    </row>
    <row r="20" spans="1:2">
      <c r="A20" s="19" t="s">
        <v>107</v>
      </c>
      <c r="B20" s="23">
        <v>37097.160000000003</v>
      </c>
    </row>
    <row r="21" spans="1:2">
      <c r="A21" s="19" t="s">
        <v>124</v>
      </c>
      <c r="B21" s="23">
        <v>15754.52</v>
      </c>
    </row>
    <row r="22" spans="1:2">
      <c r="A22" s="19" t="s">
        <v>137</v>
      </c>
      <c r="B22" s="23">
        <v>8632.24</v>
      </c>
    </row>
    <row r="23" spans="1:2">
      <c r="A23" s="19" t="s">
        <v>418</v>
      </c>
      <c r="B23" s="23">
        <v>349445</v>
      </c>
    </row>
    <row r="24" spans="1:2">
      <c r="B24"/>
    </row>
    <row r="27" spans="1:2">
      <c r="A27" s="18" t="s">
        <v>417</v>
      </c>
      <c r="B27" t="s">
        <v>428</v>
      </c>
    </row>
    <row r="28" spans="1:2">
      <c r="A28" s="19" t="s">
        <v>120</v>
      </c>
      <c r="B28" s="23">
        <v>43965.229999999996</v>
      </c>
    </row>
    <row r="29" spans="1:2">
      <c r="A29" s="19" t="s">
        <v>58</v>
      </c>
      <c r="B29" s="23">
        <v>32497.87</v>
      </c>
    </row>
    <row r="30" spans="1:2">
      <c r="A30" s="19" t="s">
        <v>159</v>
      </c>
      <c r="B30" s="23">
        <v>26137.79</v>
      </c>
    </row>
    <row r="31" spans="1:2">
      <c r="A31" s="19" t="s">
        <v>101</v>
      </c>
      <c r="B31" s="23">
        <v>26004.95</v>
      </c>
    </row>
    <row r="32" spans="1:2">
      <c r="A32" s="19" t="s">
        <v>80</v>
      </c>
      <c r="B32" s="23">
        <v>23558.47</v>
      </c>
    </row>
    <row r="33" spans="1:2">
      <c r="A33" s="19" t="s">
        <v>96</v>
      </c>
      <c r="B33" s="23">
        <v>22544.299999999996</v>
      </c>
    </row>
    <row r="34" spans="1:2">
      <c r="A34" s="19" t="s">
        <v>44</v>
      </c>
      <c r="B34" s="23">
        <v>20470.349999999999</v>
      </c>
    </row>
    <row r="35" spans="1:2">
      <c r="A35" s="19" t="s">
        <v>172</v>
      </c>
      <c r="B35" s="23">
        <v>20345.579999999998</v>
      </c>
    </row>
    <row r="36" spans="1:2">
      <c r="A36" s="19" t="s">
        <v>104</v>
      </c>
      <c r="B36" s="23">
        <v>17780.260000000002</v>
      </c>
    </row>
    <row r="37" spans="1:2">
      <c r="A37" s="19" t="s">
        <v>125</v>
      </c>
      <c r="B37" s="23">
        <v>15955.109999999999</v>
      </c>
    </row>
    <row r="38" spans="1:2">
      <c r="A38" s="19" t="s">
        <v>418</v>
      </c>
      <c r="B38" s="23">
        <v>249259.91</v>
      </c>
    </row>
    <row r="39" spans="1:2">
      <c r="A39" s="19"/>
      <c r="B39" s="23"/>
    </row>
    <row r="40" spans="1:2">
      <c r="A40" s="19"/>
      <c r="B40" s="23"/>
    </row>
    <row r="41" spans="1:2">
      <c r="A41" s="19"/>
      <c r="B41" s="23"/>
    </row>
    <row r="42" spans="1:2">
      <c r="A42" s="19"/>
      <c r="B42" s="23"/>
    </row>
    <row r="43" spans="1:2">
      <c r="A43" s="19"/>
      <c r="B43" s="23"/>
    </row>
    <row r="44" spans="1:2">
      <c r="A44" s="19"/>
      <c r="B44" s="23"/>
    </row>
    <row r="45" spans="1:2">
      <c r="A45" s="19"/>
      <c r="B45" s="23"/>
    </row>
    <row r="46" spans="1:2">
      <c r="A46" s="19"/>
      <c r="B46" s="23"/>
    </row>
    <row r="47" spans="1:2">
      <c r="B47"/>
    </row>
    <row r="48" spans="1:2">
      <c r="B48"/>
    </row>
    <row r="49" spans="1:2">
      <c r="B49"/>
    </row>
    <row r="50" spans="1:2">
      <c r="A50" s="18" t="s">
        <v>26</v>
      </c>
      <c r="B50" t="s">
        <v>433</v>
      </c>
    </row>
    <row r="51" spans="1:2">
      <c r="A51" s="19" t="s">
        <v>70</v>
      </c>
      <c r="B51" s="23">
        <v>68517.079999999987</v>
      </c>
    </row>
    <row r="52" spans="1:2">
      <c r="A52" s="19" t="s">
        <v>121</v>
      </c>
      <c r="B52" s="23">
        <v>65362.07</v>
      </c>
    </row>
    <row r="53" spans="1:2">
      <c r="A53" s="19" t="s">
        <v>102</v>
      </c>
      <c r="B53" s="23">
        <v>48174.380000000005</v>
      </c>
    </row>
    <row r="54" spans="1:2">
      <c r="A54" s="19" t="s">
        <v>48</v>
      </c>
      <c r="B54" s="23">
        <v>41133.279999999999</v>
      </c>
    </row>
    <row r="55" spans="1:2">
      <c r="A55" s="19" t="s">
        <v>188</v>
      </c>
      <c r="B55" s="23">
        <v>38440.600000000006</v>
      </c>
    </row>
    <row r="56" spans="1:2">
      <c r="A56" s="19" t="s">
        <v>144</v>
      </c>
      <c r="B56" s="23">
        <v>34366.42</v>
      </c>
    </row>
    <row r="57" spans="1:2">
      <c r="A57" s="19" t="s">
        <v>98</v>
      </c>
      <c r="B57" s="23">
        <v>31698.739999999998</v>
      </c>
    </row>
    <row r="58" spans="1:2">
      <c r="A58" s="19" t="s">
        <v>61</v>
      </c>
      <c r="B58" s="23">
        <v>21752.43</v>
      </c>
    </row>
    <row r="59" spans="1:2">
      <c r="A59" s="19" t="s">
        <v>418</v>
      </c>
      <c r="B59" s="23">
        <v>349445</v>
      </c>
    </row>
    <row r="60" spans="1:2">
      <c r="B60"/>
    </row>
    <row r="61" spans="1:2">
      <c r="B61" s="25"/>
    </row>
    <row r="62" spans="1:2">
      <c r="B62" s="25"/>
    </row>
    <row r="63" spans="1:2">
      <c r="A63" s="18" t="s">
        <v>27</v>
      </c>
      <c r="B63" s="23" t="s">
        <v>433</v>
      </c>
    </row>
    <row r="64" spans="1:2">
      <c r="A64" s="19" t="s">
        <v>77</v>
      </c>
      <c r="B64" s="23">
        <v>57373.630000000005</v>
      </c>
    </row>
    <row r="65" spans="1:2">
      <c r="A65" s="19" t="s">
        <v>71</v>
      </c>
      <c r="B65" s="23">
        <v>55832.869999999995</v>
      </c>
    </row>
    <row r="66" spans="1:2">
      <c r="A66" s="19" t="s">
        <v>91</v>
      </c>
      <c r="B66" s="23">
        <v>51695.59</v>
      </c>
    </row>
    <row r="67" spans="1:2">
      <c r="A67" s="19" t="s">
        <v>82</v>
      </c>
      <c r="B67" s="23">
        <v>50808.399999999994</v>
      </c>
    </row>
    <row r="68" spans="1:2">
      <c r="A68" s="19" t="s">
        <v>138</v>
      </c>
      <c r="B68" s="23">
        <v>42241.42</v>
      </c>
    </row>
    <row r="69" spans="1:2">
      <c r="A69" s="19" t="s">
        <v>62</v>
      </c>
      <c r="B69" s="23">
        <v>38538.530000000006</v>
      </c>
    </row>
    <row r="70" spans="1:2">
      <c r="A70" s="19" t="s">
        <v>113</v>
      </c>
      <c r="B70" s="23">
        <v>31996.140000000003</v>
      </c>
    </row>
    <row r="71" spans="1:2">
      <c r="A71" s="19" t="s">
        <v>49</v>
      </c>
      <c r="B71" s="23">
        <v>20958.420000000002</v>
      </c>
    </row>
    <row r="72" spans="1:2">
      <c r="A72" s="19" t="s">
        <v>418</v>
      </c>
      <c r="B72" s="23">
        <v>349445</v>
      </c>
    </row>
    <row r="73" spans="1:2">
      <c r="A73" s="19"/>
      <c r="B73" s="23"/>
    </row>
    <row r="74" spans="1:2">
      <c r="A74" s="19"/>
      <c r="B74" s="23"/>
    </row>
    <row r="75" spans="1:2">
      <c r="A75" s="19"/>
      <c r="B75" s="23"/>
    </row>
    <row r="76" spans="1:2">
      <c r="B76"/>
    </row>
    <row r="77" spans="1:2">
      <c r="B77"/>
    </row>
    <row r="79" spans="1:2">
      <c r="A79" s="18" t="s">
        <v>417</v>
      </c>
      <c r="B79" t="s">
        <v>425</v>
      </c>
    </row>
    <row r="80" spans="1:2">
      <c r="A80" s="19" t="s">
        <v>61</v>
      </c>
      <c r="B80" s="15">
        <v>21752.43</v>
      </c>
    </row>
    <row r="81" spans="1:2">
      <c r="A81" s="20" t="s">
        <v>49</v>
      </c>
      <c r="B81" s="15">
        <v>3671.6400000000003</v>
      </c>
    </row>
    <row r="82" spans="1:2">
      <c r="A82" s="20" t="s">
        <v>62</v>
      </c>
      <c r="B82" s="15">
        <v>3946.71</v>
      </c>
    </row>
    <row r="83" spans="1:2">
      <c r="A83" s="20" t="s">
        <v>138</v>
      </c>
      <c r="B83" s="15">
        <v>4414.04</v>
      </c>
    </row>
    <row r="84" spans="1:2">
      <c r="A84" s="20" t="s">
        <v>82</v>
      </c>
      <c r="B84" s="15">
        <v>2965.28</v>
      </c>
    </row>
    <row r="85" spans="1:2">
      <c r="A85" s="20" t="s">
        <v>77</v>
      </c>
      <c r="B85" s="15">
        <v>3242.91</v>
      </c>
    </row>
    <row r="86" spans="1:2">
      <c r="A86" s="20" t="s">
        <v>91</v>
      </c>
      <c r="B86" s="15">
        <v>3511.8500000000004</v>
      </c>
    </row>
    <row r="87" spans="1:2">
      <c r="A87" s="19" t="s">
        <v>70</v>
      </c>
      <c r="B87" s="15">
        <v>68517.079999999987</v>
      </c>
    </row>
    <row r="88" spans="1:2">
      <c r="A88" s="20" t="s">
        <v>113</v>
      </c>
      <c r="B88" s="15">
        <v>7721.5400000000009</v>
      </c>
    </row>
    <row r="89" spans="1:2">
      <c r="A89" s="20" t="s">
        <v>71</v>
      </c>
      <c r="B89" s="15">
        <v>8118.64</v>
      </c>
    </row>
    <row r="90" spans="1:2">
      <c r="A90" s="20" t="s">
        <v>49</v>
      </c>
      <c r="B90" s="15">
        <v>2370.6999999999998</v>
      </c>
    </row>
    <row r="91" spans="1:2">
      <c r="A91" s="20" t="s">
        <v>62</v>
      </c>
      <c r="B91" s="15">
        <v>2148.83</v>
      </c>
    </row>
    <row r="92" spans="1:2">
      <c r="A92" s="20" t="s">
        <v>138</v>
      </c>
      <c r="B92" s="15">
        <v>7105.6999999999989</v>
      </c>
    </row>
    <row r="93" spans="1:2">
      <c r="A93" s="20" t="s">
        <v>82</v>
      </c>
      <c r="B93" s="15">
        <v>9643.7900000000009</v>
      </c>
    </row>
    <row r="94" spans="1:2">
      <c r="A94" s="20" t="s">
        <v>77</v>
      </c>
      <c r="B94" s="15">
        <v>18917.28</v>
      </c>
    </row>
    <row r="95" spans="1:2">
      <c r="A95" s="20" t="s">
        <v>91</v>
      </c>
      <c r="B95" s="15">
        <v>12490.599999999999</v>
      </c>
    </row>
    <row r="96" spans="1:2">
      <c r="A96" s="19" t="s">
        <v>188</v>
      </c>
      <c r="B96" s="15">
        <v>38440.6</v>
      </c>
    </row>
    <row r="97" spans="1:2">
      <c r="A97" s="20" t="s">
        <v>71</v>
      </c>
      <c r="B97" s="15">
        <v>2863.22</v>
      </c>
    </row>
    <row r="98" spans="1:2">
      <c r="A98" s="20" t="s">
        <v>62</v>
      </c>
      <c r="B98" s="15">
        <v>3814.4000000000005</v>
      </c>
    </row>
    <row r="99" spans="1:2">
      <c r="A99" s="20" t="s">
        <v>138</v>
      </c>
      <c r="B99" s="15">
        <v>11020.39</v>
      </c>
    </row>
    <row r="100" spans="1:2">
      <c r="A100" s="20" t="s">
        <v>82</v>
      </c>
      <c r="B100" s="15">
        <v>11291.279999999999</v>
      </c>
    </row>
    <row r="101" spans="1:2">
      <c r="A101" s="20" t="s">
        <v>77</v>
      </c>
      <c r="B101" s="15">
        <v>6304.4599999999991</v>
      </c>
    </row>
    <row r="102" spans="1:2">
      <c r="A102" s="20" t="s">
        <v>91</v>
      </c>
      <c r="B102" s="15">
        <v>3146.85</v>
      </c>
    </row>
    <row r="103" spans="1:2">
      <c r="A103" s="19" t="s">
        <v>102</v>
      </c>
      <c r="B103" s="15">
        <v>48174.380000000005</v>
      </c>
    </row>
    <row r="104" spans="1:2">
      <c r="A104" s="20" t="s">
        <v>113</v>
      </c>
      <c r="B104" s="15">
        <v>2768.9100000000003</v>
      </c>
    </row>
    <row r="105" spans="1:2">
      <c r="A105" s="20" t="s">
        <v>71</v>
      </c>
      <c r="B105" s="15">
        <v>11282.68</v>
      </c>
    </row>
    <row r="106" spans="1:2">
      <c r="A106" s="20" t="s">
        <v>49</v>
      </c>
      <c r="B106" s="15">
        <v>4337.93</v>
      </c>
    </row>
    <row r="107" spans="1:2">
      <c r="A107" s="20" t="s">
        <v>62</v>
      </c>
      <c r="B107" s="15">
        <v>5671.2100000000009</v>
      </c>
    </row>
    <row r="108" spans="1:2">
      <c r="A108" s="20" t="s">
        <v>138</v>
      </c>
      <c r="B108" s="15">
        <v>4677.33</v>
      </c>
    </row>
    <row r="109" spans="1:2">
      <c r="A109" s="20" t="s">
        <v>82</v>
      </c>
      <c r="B109" s="15">
        <v>7511.2100000000009</v>
      </c>
    </row>
    <row r="110" spans="1:2">
      <c r="A110" s="20" t="s">
        <v>77</v>
      </c>
      <c r="B110" s="15">
        <v>5572.1399999999994</v>
      </c>
    </row>
    <row r="111" spans="1:2">
      <c r="A111" s="20" t="s">
        <v>91</v>
      </c>
      <c r="B111" s="15">
        <v>6352.97</v>
      </c>
    </row>
    <row r="112" spans="1:2">
      <c r="A112" s="19" t="s">
        <v>48</v>
      </c>
      <c r="B112" s="15">
        <v>41133.279999999999</v>
      </c>
    </row>
    <row r="113" spans="1:2">
      <c r="A113" s="20" t="s">
        <v>113</v>
      </c>
      <c r="B113" s="15">
        <v>6951.13</v>
      </c>
    </row>
    <row r="114" spans="1:2">
      <c r="A114" s="20" t="s">
        <v>71</v>
      </c>
      <c r="B114" s="15">
        <v>4004.0299999999997</v>
      </c>
    </row>
    <row r="115" spans="1:2">
      <c r="A115" s="20" t="s">
        <v>49</v>
      </c>
      <c r="B115" s="15">
        <v>1688.7500000000002</v>
      </c>
    </row>
    <row r="116" spans="1:2">
      <c r="A116" s="20" t="s">
        <v>62</v>
      </c>
      <c r="B116" s="15">
        <v>7035.65</v>
      </c>
    </row>
    <row r="117" spans="1:2">
      <c r="A117" s="20" t="s">
        <v>138</v>
      </c>
      <c r="B117" s="15">
        <v>824.99</v>
      </c>
    </row>
    <row r="118" spans="1:2">
      <c r="A118" s="20" t="s">
        <v>82</v>
      </c>
      <c r="B118" s="15">
        <v>5599.7000000000007</v>
      </c>
    </row>
    <row r="119" spans="1:2">
      <c r="A119" s="20" t="s">
        <v>77</v>
      </c>
      <c r="B119" s="15">
        <v>6196.92</v>
      </c>
    </row>
    <row r="120" spans="1:2">
      <c r="A120" s="20" t="s">
        <v>91</v>
      </c>
      <c r="B120" s="15">
        <v>8832.11</v>
      </c>
    </row>
    <row r="121" spans="1:2">
      <c r="A121" s="19" t="s">
        <v>144</v>
      </c>
      <c r="B121" s="15">
        <v>34366.420000000006</v>
      </c>
    </row>
    <row r="122" spans="1:2">
      <c r="A122" s="20" t="s">
        <v>113</v>
      </c>
      <c r="B122" s="15">
        <v>2143.69</v>
      </c>
    </row>
    <row r="123" spans="1:2">
      <c r="A123" s="20" t="s">
        <v>71</v>
      </c>
      <c r="B123" s="15">
        <v>12286.48</v>
      </c>
    </row>
    <row r="124" spans="1:2">
      <c r="A124" s="20" t="s">
        <v>49</v>
      </c>
      <c r="B124" s="15">
        <v>3130.48</v>
      </c>
    </row>
    <row r="125" spans="1:2">
      <c r="A125" s="20" t="s">
        <v>62</v>
      </c>
      <c r="B125" s="15">
        <v>5736.1900000000005</v>
      </c>
    </row>
    <row r="126" spans="1:2">
      <c r="A126" s="20" t="s">
        <v>138</v>
      </c>
      <c r="B126" s="15">
        <v>5938.9500000000007</v>
      </c>
    </row>
    <row r="127" spans="1:2">
      <c r="A127" s="20" t="s">
        <v>77</v>
      </c>
      <c r="B127" s="15">
        <v>5130.63</v>
      </c>
    </row>
    <row r="128" spans="1:2">
      <c r="A128" s="19" t="s">
        <v>98</v>
      </c>
      <c r="B128" s="15">
        <v>31698.739999999998</v>
      </c>
    </row>
    <row r="129" spans="1:2">
      <c r="A129" s="20" t="s">
        <v>113</v>
      </c>
      <c r="B129" s="15">
        <v>4373.91</v>
      </c>
    </row>
    <row r="130" spans="1:2">
      <c r="A130" s="20" t="s">
        <v>71</v>
      </c>
      <c r="B130" s="15">
        <v>8730.7799999999988</v>
      </c>
    </row>
    <row r="131" spans="1:2">
      <c r="A131" s="20" t="s">
        <v>49</v>
      </c>
      <c r="B131" s="15">
        <v>1299.45</v>
      </c>
    </row>
    <row r="132" spans="1:2">
      <c r="A132" s="20" t="s">
        <v>62</v>
      </c>
      <c r="B132" s="15">
        <v>3308.68</v>
      </c>
    </row>
    <row r="133" spans="1:2">
      <c r="A133" s="20" t="s">
        <v>82</v>
      </c>
      <c r="B133" s="15">
        <v>5403.96</v>
      </c>
    </row>
    <row r="134" spans="1:2">
      <c r="A134" s="20" t="s">
        <v>77</v>
      </c>
      <c r="B134" s="15">
        <v>5786.75</v>
      </c>
    </row>
    <row r="135" spans="1:2">
      <c r="A135" s="20" t="s">
        <v>91</v>
      </c>
      <c r="B135" s="15">
        <v>2795.21</v>
      </c>
    </row>
    <row r="136" spans="1:2">
      <c r="A136" s="19" t="s">
        <v>121</v>
      </c>
      <c r="B136" s="15">
        <v>65362.070000000007</v>
      </c>
    </row>
    <row r="137" spans="1:2">
      <c r="A137" s="20" t="s">
        <v>113</v>
      </c>
      <c r="B137" s="15">
        <v>8036.96</v>
      </c>
    </row>
    <row r="138" spans="1:2">
      <c r="A138" s="20" t="s">
        <v>71</v>
      </c>
      <c r="B138" s="15">
        <v>8547.0400000000009</v>
      </c>
    </row>
    <row r="139" spans="1:2">
      <c r="A139" s="20" t="s">
        <v>49</v>
      </c>
      <c r="B139" s="15">
        <v>4459.47</v>
      </c>
    </row>
    <row r="140" spans="1:2">
      <c r="A140" s="20" t="s">
        <v>62</v>
      </c>
      <c r="B140" s="15">
        <v>6876.86</v>
      </c>
    </row>
    <row r="141" spans="1:2">
      <c r="A141" s="20" t="s">
        <v>138</v>
      </c>
      <c r="B141" s="15">
        <v>8260.02</v>
      </c>
    </row>
    <row r="142" spans="1:2">
      <c r="A142" s="20" t="s">
        <v>82</v>
      </c>
      <c r="B142" s="15">
        <v>8393.18</v>
      </c>
    </row>
    <row r="143" spans="1:2">
      <c r="A143" s="20" t="s">
        <v>77</v>
      </c>
      <c r="B143" s="15">
        <v>6222.54</v>
      </c>
    </row>
    <row r="144" spans="1:2">
      <c r="A144" s="20" t="s">
        <v>91</v>
      </c>
      <c r="B144" s="15">
        <v>14565.999999999998</v>
      </c>
    </row>
    <row r="145" spans="1:4">
      <c r="A145" s="19" t="s">
        <v>418</v>
      </c>
      <c r="B145" s="15">
        <v>349445</v>
      </c>
    </row>
    <row r="146" spans="1:4">
      <c r="B146"/>
    </row>
    <row r="147" spans="1:4">
      <c r="B147"/>
    </row>
    <row r="152" spans="1:4">
      <c r="A152" t="s">
        <v>425</v>
      </c>
      <c r="B152"/>
    </row>
    <row r="153" spans="1:4">
      <c r="A153" s="39">
        <v>349444.99999999988</v>
      </c>
      <c r="B153"/>
    </row>
    <row r="154" spans="1:4">
      <c r="B154"/>
    </row>
    <row r="155" spans="1:4">
      <c r="A155" t="s">
        <v>440</v>
      </c>
      <c r="B155"/>
    </row>
    <row r="156" spans="1:4">
      <c r="A156" s="39">
        <v>2184.0312499999991</v>
      </c>
      <c r="B156"/>
    </row>
    <row r="157" spans="1:4">
      <c r="B157"/>
    </row>
    <row r="158" spans="1:4">
      <c r="A158" s="18" t="s">
        <v>417</v>
      </c>
      <c r="B158" t="s">
        <v>439</v>
      </c>
    </row>
    <row r="159" spans="1:4">
      <c r="A159" s="19" t="s">
        <v>441</v>
      </c>
      <c r="B159" s="15">
        <v>61</v>
      </c>
      <c r="C159" s="19" t="s">
        <v>441</v>
      </c>
      <c r="D159" s="29">
        <f>GETPIVOTDATA("Trip_ID",$A$158,"Budget Status","Over Budget")/GETPIVOTDATA("Trip_ID",$A$158)</f>
        <v>0.38124999999999998</v>
      </c>
    </row>
    <row r="160" spans="1:4">
      <c r="A160" s="19" t="s">
        <v>442</v>
      </c>
      <c r="B160" s="15">
        <v>99</v>
      </c>
      <c r="C160" s="19" t="s">
        <v>442</v>
      </c>
      <c r="D160" s="29">
        <f>GETPIVOTDATA("Trip_ID",$A$158,"Budget Status","Within Budget")/GETPIVOTDATA("Trip_ID",$A$158)</f>
        <v>0.61875000000000002</v>
      </c>
    </row>
    <row r="161" spans="1:3">
      <c r="A161" s="19" t="s">
        <v>418</v>
      </c>
      <c r="B161" s="15">
        <v>160</v>
      </c>
    </row>
    <row r="162" spans="1:3">
      <c r="B162"/>
    </row>
    <row r="163" spans="1:3">
      <c r="B163"/>
    </row>
    <row r="164" spans="1:3">
      <c r="A164" t="s">
        <v>429</v>
      </c>
      <c r="B164" t="s">
        <v>439</v>
      </c>
    </row>
    <row r="165" spans="1:3">
      <c r="A165" s="15">
        <v>45</v>
      </c>
      <c r="B165" s="15">
        <v>160</v>
      </c>
      <c r="C165" s="29">
        <f>GETPIVOTDATA("Cuenta de Exception_Reason",$A$164)/GETPIVOTDATA("Cuenta de Trip_ID",$A$164)</f>
        <v>0.28125</v>
      </c>
    </row>
    <row r="166" spans="1:3">
      <c r="B166"/>
    </row>
    <row r="167" spans="1:3">
      <c r="A167" s="18" t="s">
        <v>417</v>
      </c>
      <c r="B167" t="s">
        <v>439</v>
      </c>
    </row>
    <row r="168" spans="1:3">
      <c r="A168" s="19" t="s">
        <v>53</v>
      </c>
      <c r="B168" s="15">
        <v>33</v>
      </c>
    </row>
    <row r="169" spans="1:3">
      <c r="A169" s="19" t="s">
        <v>52</v>
      </c>
      <c r="B169" s="15">
        <v>127</v>
      </c>
    </row>
    <row r="170" spans="1:3">
      <c r="A170" s="19" t="s">
        <v>418</v>
      </c>
      <c r="B170" s="15">
        <v>160</v>
      </c>
      <c r="C170" s="29">
        <f>GETPIVOTDATA("Trip_ID",$A$167,"Preferred_Vendor_Used","Yes")/GETPIVOTDATA("Trip_ID",$A$167)</f>
        <v>0.79374999999999996</v>
      </c>
    </row>
    <row r="171" spans="1:3">
      <c r="B171"/>
    </row>
    <row r="172" spans="1:3">
      <c r="B172"/>
    </row>
    <row r="173" spans="1:3">
      <c r="A173" s="18" t="s">
        <v>417</v>
      </c>
      <c r="B173" t="s">
        <v>425</v>
      </c>
    </row>
    <row r="174" spans="1:3">
      <c r="A174" s="19" t="s">
        <v>424</v>
      </c>
      <c r="B174" s="23">
        <v>54861.22</v>
      </c>
    </row>
    <row r="175" spans="1:3">
      <c r="A175" s="19" t="s">
        <v>418</v>
      </c>
      <c r="B175" s="23">
        <v>54861.22</v>
      </c>
    </row>
    <row r="176" spans="1:3">
      <c r="B176"/>
    </row>
    <row r="177" spans="2:4">
      <c r="B177"/>
      <c r="D177" t="s">
        <v>443</v>
      </c>
    </row>
    <row r="178" spans="2:4">
      <c r="B178"/>
    </row>
    <row r="179" spans="2:4">
      <c r="B179"/>
    </row>
    <row r="180" spans="2:4">
      <c r="B180"/>
    </row>
    <row r="181" spans="2:4">
      <c r="B181"/>
    </row>
    <row r="182" spans="2:4">
      <c r="B182"/>
    </row>
    <row r="183" spans="2:4">
      <c r="B183"/>
    </row>
    <row r="184" spans="2:4">
      <c r="B184"/>
    </row>
    <row r="185" spans="2:4">
      <c r="B185"/>
    </row>
    <row r="186" spans="2:4">
      <c r="B186"/>
    </row>
    <row r="187" spans="2:4">
      <c r="B187"/>
    </row>
    <row r="188" spans="2:4">
      <c r="B188"/>
    </row>
    <row r="189" spans="2:4">
      <c r="B189"/>
    </row>
    <row r="190" spans="2:4">
      <c r="B190"/>
    </row>
  </sheetData>
  <pageMargins left="0.7" right="0.7" top="0.75" bottom="0.75" header="0.3" footer="0.3"/>
  <drawing r:id="rId1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C11F3-D3F2-4B5E-B5DE-9C88EA92A3B8}">
  <sheetPr codeName="Hoja4"/>
  <dimension ref="B1:AA49"/>
  <sheetViews>
    <sheetView showGridLines="0" workbookViewId="0"/>
  </sheetViews>
  <sheetFormatPr baseColWidth="10" defaultRowHeight="14.25"/>
  <cols>
    <col min="3" max="3" width="6.5" customWidth="1"/>
    <col min="4" max="4" width="12.25" customWidth="1"/>
    <col min="6" max="6" width="5.625" customWidth="1"/>
    <col min="7" max="7" width="12" customWidth="1"/>
    <col min="9" max="9" width="5.625" customWidth="1"/>
    <col min="10" max="10" width="12.375" customWidth="1"/>
    <col min="11" max="11" width="12.25" customWidth="1"/>
    <col min="12" max="12" width="5.625" customWidth="1"/>
    <col min="13" max="13" width="10.625" customWidth="1"/>
    <col min="14" max="14" width="17.125" customWidth="1"/>
    <col min="15" max="15" width="5.625" customWidth="1"/>
    <col min="17" max="17" width="13.625" customWidth="1"/>
    <col min="27" max="27" width="12" hidden="1" customWidth="1"/>
  </cols>
  <sheetData>
    <row r="1" spans="2:27">
      <c r="AA1" s="16" t="str">
        <f>TEXT(Pivot_Analysis!B153,"$#,##0")</f>
        <v>$0</v>
      </c>
    </row>
    <row r="2" spans="2:27">
      <c r="AA2" t="str">
        <f>TEXT(G9,"$#,##0")</f>
        <v>$2,184</v>
      </c>
    </row>
    <row r="3" spans="2:27">
      <c r="AA3" t="str">
        <f>TEXT(J9,"0.0%")</f>
        <v>61.9%</v>
      </c>
    </row>
    <row r="4" spans="2:27" ht="28.5">
      <c r="B4" s="44" t="s">
        <v>434</v>
      </c>
      <c r="C4" s="44"/>
      <c r="D4" s="44"/>
      <c r="E4" s="44"/>
      <c r="F4" s="44"/>
      <c r="G4" s="44"/>
      <c r="H4" s="44"/>
      <c r="I4" s="44"/>
      <c r="J4" s="44"/>
      <c r="K4" s="44"/>
      <c r="L4" s="44"/>
      <c r="M4" s="44"/>
      <c r="N4" s="44"/>
      <c r="O4" s="44"/>
      <c r="P4" s="44"/>
      <c r="Q4" s="44"/>
      <c r="R4" s="44"/>
      <c r="S4" s="44"/>
      <c r="AA4" t="str">
        <f>TEXT(M9,"0.0%")</f>
        <v>28.1%</v>
      </c>
    </row>
    <row r="5" spans="2:27" ht="15">
      <c r="I5" s="42" t="s">
        <v>446</v>
      </c>
      <c r="J5" s="42"/>
      <c r="K5" s="42"/>
      <c r="L5" s="42"/>
      <c r="M5" s="42"/>
      <c r="AA5" t="str">
        <f>TEXT(P9,"0.0%")</f>
        <v>79.4%</v>
      </c>
    </row>
    <row r="8" spans="2:27" ht="15">
      <c r="D8" s="48" t="s">
        <v>1</v>
      </c>
      <c r="E8" s="49"/>
      <c r="F8" s="40"/>
      <c r="G8" s="48" t="s">
        <v>435</v>
      </c>
      <c r="H8" s="49"/>
      <c r="I8" s="40"/>
      <c r="J8" s="48" t="s">
        <v>436</v>
      </c>
      <c r="K8" s="49"/>
      <c r="L8" s="40"/>
      <c r="M8" s="48" t="s">
        <v>437</v>
      </c>
      <c r="N8" s="49"/>
      <c r="O8" s="40"/>
      <c r="P8" s="48" t="s">
        <v>7</v>
      </c>
      <c r="Q8" s="49"/>
    </row>
    <row r="9" spans="2:27" ht="30">
      <c r="D9" s="50" t="str">
        <f>TEXT(GETPIVOTDATA("Total_Actual_USD",Pivot_Analysis!$A$152),"$#,##0")</f>
        <v>$349,445</v>
      </c>
      <c r="E9" s="51"/>
      <c r="F9" s="41"/>
      <c r="G9" s="50" t="str">
        <f>TEXT(GETPIVOTDATA("Total_Actual_USD",Pivot_Analysis!$A$155),"$#,##0")</f>
        <v>$2,184</v>
      </c>
      <c r="H9" s="51"/>
      <c r="I9" s="41"/>
      <c r="J9" s="52">
        <f>Pivot_Analysis!D160</f>
        <v>0.61875000000000002</v>
      </c>
      <c r="K9" s="53"/>
      <c r="L9" s="41"/>
      <c r="M9" s="52">
        <f>Pivot_Analysis!C165</f>
        <v>0.28125</v>
      </c>
      <c r="N9" s="53"/>
      <c r="O9" s="41"/>
      <c r="P9" s="52">
        <f>Pivot_Analysis!C170</f>
        <v>0.79374999999999996</v>
      </c>
      <c r="Q9" s="53"/>
    </row>
    <row r="10" spans="2:27">
      <c r="B10" s="26"/>
      <c r="C10" s="26"/>
      <c r="D10" s="26"/>
      <c r="E10" s="26"/>
      <c r="F10" s="26"/>
      <c r="G10" s="26"/>
      <c r="H10" s="26"/>
      <c r="I10" s="26"/>
      <c r="J10" s="26"/>
      <c r="K10" s="26"/>
      <c r="L10" s="26"/>
      <c r="M10" s="26"/>
      <c r="N10" s="26"/>
      <c r="O10" s="26"/>
      <c r="P10" s="26"/>
    </row>
    <row r="11" spans="2:27">
      <c r="B11" s="26"/>
      <c r="C11" s="26"/>
      <c r="D11" s="26"/>
      <c r="E11" s="26"/>
      <c r="F11" s="26"/>
      <c r="G11" s="26"/>
      <c r="H11" s="26"/>
      <c r="I11" s="26"/>
      <c r="J11" s="26"/>
      <c r="K11" s="26"/>
      <c r="L11" s="26"/>
      <c r="M11" s="26"/>
      <c r="N11" s="26"/>
      <c r="O11" s="26"/>
      <c r="P11" s="26"/>
    </row>
    <row r="12" spans="2:27" ht="15">
      <c r="B12" s="45" t="s">
        <v>438</v>
      </c>
      <c r="C12" s="46"/>
      <c r="D12" s="46"/>
      <c r="E12" s="46"/>
      <c r="F12" s="46"/>
      <c r="G12" s="46"/>
      <c r="H12" s="46"/>
      <c r="I12" s="47"/>
      <c r="J12" s="26"/>
      <c r="K12" s="45" t="s">
        <v>11</v>
      </c>
      <c r="L12" s="46"/>
      <c r="M12" s="46"/>
      <c r="N12" s="46"/>
      <c r="O12" s="46"/>
      <c r="P12" s="46"/>
      <c r="Q12" s="46"/>
      <c r="R12" s="46"/>
      <c r="S12" s="47"/>
    </row>
    <row r="13" spans="2:27">
      <c r="B13" s="30"/>
      <c r="C13" s="27"/>
      <c r="D13" s="27"/>
      <c r="E13" s="28"/>
      <c r="F13" s="28"/>
      <c r="G13" s="27"/>
      <c r="H13" s="27"/>
      <c r="I13" s="31"/>
      <c r="J13" s="26"/>
      <c r="K13" s="30"/>
      <c r="L13" s="27"/>
      <c r="M13" s="27"/>
      <c r="N13" s="27"/>
      <c r="O13" s="27"/>
      <c r="P13" s="27"/>
      <c r="Q13" s="28"/>
      <c r="R13" s="28"/>
      <c r="S13" s="33"/>
    </row>
    <row r="14" spans="2:27">
      <c r="B14" s="30"/>
      <c r="C14" s="27"/>
      <c r="D14" s="27"/>
      <c r="E14" s="27"/>
      <c r="F14" s="27"/>
      <c r="G14" s="27"/>
      <c r="H14" s="27"/>
      <c r="I14" s="31"/>
      <c r="J14" s="26"/>
      <c r="K14" s="30"/>
      <c r="L14" s="27"/>
      <c r="M14" s="27"/>
      <c r="N14" s="27"/>
      <c r="O14" s="27"/>
      <c r="P14" s="27"/>
      <c r="Q14" s="28"/>
      <c r="R14" s="28"/>
      <c r="S14" s="33"/>
    </row>
    <row r="15" spans="2:27">
      <c r="B15" s="30"/>
      <c r="C15" s="27"/>
      <c r="D15" s="27"/>
      <c r="E15" s="27"/>
      <c r="F15" s="27"/>
      <c r="G15" s="27"/>
      <c r="H15" s="27"/>
      <c r="I15" s="31"/>
      <c r="J15" s="26"/>
      <c r="K15" s="30"/>
      <c r="L15" s="27"/>
      <c r="M15" s="27"/>
      <c r="N15" s="27"/>
      <c r="O15" s="27"/>
      <c r="P15" s="27"/>
      <c r="Q15" s="28"/>
      <c r="R15" s="28"/>
      <c r="S15" s="33"/>
    </row>
    <row r="16" spans="2:27">
      <c r="B16" s="32"/>
      <c r="C16" s="28"/>
      <c r="D16" s="28"/>
      <c r="E16" s="28"/>
      <c r="F16" s="28"/>
      <c r="G16" s="28"/>
      <c r="H16" s="28"/>
      <c r="I16" s="33"/>
      <c r="K16" s="32"/>
      <c r="L16" s="28"/>
      <c r="M16" s="28"/>
      <c r="N16" s="28"/>
      <c r="O16" s="28"/>
      <c r="P16" s="28"/>
      <c r="Q16" s="28"/>
      <c r="R16" s="28"/>
      <c r="S16" s="33"/>
    </row>
    <row r="17" spans="2:19">
      <c r="B17" s="32"/>
      <c r="C17" s="28"/>
      <c r="D17" s="28"/>
      <c r="E17" s="28"/>
      <c r="F17" s="28"/>
      <c r="G17" s="28"/>
      <c r="H17" s="28"/>
      <c r="I17" s="33"/>
      <c r="K17" s="32"/>
      <c r="L17" s="28"/>
      <c r="M17" s="28"/>
      <c r="N17" s="28"/>
      <c r="O17" s="28"/>
      <c r="P17" s="28"/>
      <c r="Q17" s="28"/>
      <c r="R17" s="28"/>
      <c r="S17" s="33"/>
    </row>
    <row r="18" spans="2:19">
      <c r="B18" s="30"/>
      <c r="C18" s="27"/>
      <c r="D18" s="27"/>
      <c r="E18" s="27"/>
      <c r="F18" s="27"/>
      <c r="G18" s="27"/>
      <c r="H18" s="27"/>
      <c r="I18" s="31"/>
      <c r="J18" s="26"/>
      <c r="K18" s="30"/>
      <c r="L18" s="27"/>
      <c r="M18" s="27"/>
      <c r="N18" s="27"/>
      <c r="O18" s="27"/>
      <c r="P18" s="27"/>
      <c r="Q18" s="28"/>
      <c r="R18" s="28"/>
      <c r="S18" s="33"/>
    </row>
    <row r="19" spans="2:19">
      <c r="B19" s="32"/>
      <c r="C19" s="28"/>
      <c r="D19" s="28"/>
      <c r="E19" s="28"/>
      <c r="F19" s="28"/>
      <c r="G19" s="28"/>
      <c r="H19" s="28"/>
      <c r="I19" s="33"/>
      <c r="K19" s="32"/>
      <c r="L19" s="28"/>
      <c r="M19" s="28"/>
      <c r="N19" s="28"/>
      <c r="O19" s="28"/>
      <c r="P19" s="28"/>
      <c r="Q19" s="28"/>
      <c r="R19" s="28"/>
      <c r="S19" s="33"/>
    </row>
    <row r="20" spans="2:19">
      <c r="B20" s="32"/>
      <c r="C20" s="28"/>
      <c r="D20" s="28"/>
      <c r="E20" s="28"/>
      <c r="F20" s="28"/>
      <c r="G20" s="28"/>
      <c r="H20" s="28"/>
      <c r="I20" s="33"/>
      <c r="K20" s="32"/>
      <c r="L20" s="28"/>
      <c r="M20" s="28"/>
      <c r="N20" s="28"/>
      <c r="O20" s="28"/>
      <c r="P20" s="28"/>
      <c r="Q20" s="28"/>
      <c r="R20" s="28"/>
      <c r="S20" s="33"/>
    </row>
    <row r="21" spans="2:19">
      <c r="B21" s="32"/>
      <c r="C21" s="28"/>
      <c r="D21" s="28"/>
      <c r="E21" s="28"/>
      <c r="F21" s="28"/>
      <c r="G21" s="28"/>
      <c r="H21" s="28"/>
      <c r="I21" s="33"/>
      <c r="K21" s="32"/>
      <c r="L21" s="28"/>
      <c r="M21" s="28"/>
      <c r="N21" s="28"/>
      <c r="O21" s="28"/>
      <c r="P21" s="28"/>
      <c r="Q21" s="28"/>
      <c r="R21" s="28"/>
      <c r="S21" s="33"/>
    </row>
    <row r="22" spans="2:19">
      <c r="B22" s="32"/>
      <c r="C22" s="28"/>
      <c r="D22" s="28"/>
      <c r="E22" s="28"/>
      <c r="F22" s="28"/>
      <c r="G22" s="28"/>
      <c r="H22" s="28"/>
      <c r="I22" s="33"/>
      <c r="K22" s="32"/>
      <c r="L22" s="28"/>
      <c r="M22" s="28"/>
      <c r="N22" s="28"/>
      <c r="O22" s="28"/>
      <c r="P22" s="28"/>
      <c r="Q22" s="28"/>
      <c r="R22" s="28"/>
      <c r="S22" s="33"/>
    </row>
    <row r="23" spans="2:19">
      <c r="B23" s="32"/>
      <c r="C23" s="28"/>
      <c r="D23" s="28"/>
      <c r="E23" s="28"/>
      <c r="F23" s="28"/>
      <c r="G23" s="28"/>
      <c r="H23" s="28"/>
      <c r="I23" s="33"/>
      <c r="K23" s="32"/>
      <c r="L23" s="28"/>
      <c r="M23" s="28"/>
      <c r="N23" s="28"/>
      <c r="O23" s="28"/>
      <c r="P23" s="28"/>
      <c r="Q23" s="28"/>
      <c r="R23" s="28"/>
      <c r="S23" s="33"/>
    </row>
    <row r="24" spans="2:19">
      <c r="B24" s="32"/>
      <c r="C24" s="28"/>
      <c r="D24" s="28"/>
      <c r="E24" s="28"/>
      <c r="F24" s="28"/>
      <c r="G24" s="28"/>
      <c r="H24" s="28"/>
      <c r="I24" s="33"/>
      <c r="K24" s="32"/>
      <c r="L24" s="28"/>
      <c r="M24" s="28"/>
      <c r="N24" s="28"/>
      <c r="O24" s="28"/>
      <c r="P24" s="28"/>
      <c r="Q24" s="28"/>
      <c r="R24" s="28"/>
      <c r="S24" s="33"/>
    </row>
    <row r="25" spans="2:19">
      <c r="B25" s="32"/>
      <c r="C25" s="28"/>
      <c r="D25" s="28"/>
      <c r="E25" s="28"/>
      <c r="F25" s="28"/>
      <c r="G25" s="28"/>
      <c r="H25" s="28"/>
      <c r="I25" s="33"/>
      <c r="K25" s="32"/>
      <c r="L25" s="28"/>
      <c r="M25" s="28"/>
      <c r="N25" s="28"/>
      <c r="O25" s="28"/>
      <c r="P25" s="28"/>
      <c r="Q25" s="28"/>
      <c r="R25" s="28"/>
      <c r="S25" s="33"/>
    </row>
    <row r="26" spans="2:19">
      <c r="B26" s="32"/>
      <c r="C26" s="28"/>
      <c r="D26" s="28"/>
      <c r="E26" s="28"/>
      <c r="F26" s="28"/>
      <c r="G26" s="28"/>
      <c r="H26" s="28"/>
      <c r="I26" s="33"/>
      <c r="K26" s="32"/>
      <c r="L26" s="28"/>
      <c r="M26" s="28"/>
      <c r="N26" s="28"/>
      <c r="O26" s="28"/>
      <c r="P26" s="28"/>
      <c r="Q26" s="28"/>
      <c r="R26" s="28"/>
      <c r="S26" s="33"/>
    </row>
    <row r="27" spans="2:19">
      <c r="B27" s="34"/>
      <c r="C27" s="35"/>
      <c r="D27" s="35"/>
      <c r="E27" s="35"/>
      <c r="F27" s="35"/>
      <c r="G27" s="35"/>
      <c r="H27" s="35"/>
      <c r="I27" s="36"/>
      <c r="K27" s="34"/>
      <c r="L27" s="35"/>
      <c r="M27" s="35"/>
      <c r="N27" s="35"/>
      <c r="O27" s="35"/>
      <c r="P27" s="35"/>
      <c r="Q27" s="35"/>
      <c r="R27" s="35"/>
      <c r="S27" s="36"/>
    </row>
    <row r="29" spans="2:19">
      <c r="K29" s="28"/>
      <c r="L29" s="28"/>
      <c r="M29" s="28"/>
      <c r="N29" s="28"/>
      <c r="O29" s="28"/>
      <c r="P29" s="28"/>
    </row>
    <row r="30" spans="2:19" ht="15">
      <c r="B30" s="45" t="s">
        <v>9</v>
      </c>
      <c r="C30" s="46"/>
      <c r="D30" s="46"/>
      <c r="E30" s="46"/>
      <c r="F30" s="46"/>
      <c r="G30" s="46"/>
      <c r="H30" s="46"/>
      <c r="I30" s="46"/>
      <c r="J30" s="37"/>
      <c r="K30" s="37"/>
      <c r="L30" s="38"/>
      <c r="M30" s="27"/>
      <c r="N30" s="45" t="s">
        <v>415</v>
      </c>
      <c r="O30" s="46"/>
      <c r="P30" s="46"/>
      <c r="Q30" s="46"/>
      <c r="R30" s="46"/>
      <c r="S30" s="47"/>
    </row>
    <row r="31" spans="2:19">
      <c r="B31" s="30"/>
      <c r="C31" s="27"/>
      <c r="D31" s="27"/>
      <c r="E31" s="28"/>
      <c r="F31" s="28"/>
      <c r="G31" s="27"/>
      <c r="H31" s="27"/>
      <c r="I31" s="27"/>
      <c r="J31" s="27"/>
      <c r="K31" s="27"/>
      <c r="L31" s="31"/>
      <c r="M31" s="27"/>
      <c r="N31" s="30"/>
      <c r="O31" s="27"/>
      <c r="P31" s="27"/>
      <c r="Q31" s="28"/>
      <c r="R31" s="28"/>
      <c r="S31" s="33"/>
    </row>
    <row r="32" spans="2:19">
      <c r="B32" s="30"/>
      <c r="C32" s="27"/>
      <c r="D32" s="27"/>
      <c r="E32" s="27"/>
      <c r="F32" s="27"/>
      <c r="G32" s="27"/>
      <c r="H32" s="27"/>
      <c r="I32" s="27"/>
      <c r="J32" s="27"/>
      <c r="K32" s="27"/>
      <c r="L32" s="31"/>
      <c r="M32" s="27"/>
      <c r="N32" s="30"/>
      <c r="O32" s="27"/>
      <c r="P32" s="27"/>
      <c r="Q32" s="28"/>
      <c r="R32" s="28"/>
      <c r="S32" s="33"/>
    </row>
    <row r="33" spans="2:19">
      <c r="B33" s="30"/>
      <c r="C33" s="27"/>
      <c r="D33" s="27"/>
      <c r="E33" s="27"/>
      <c r="F33" s="27"/>
      <c r="G33" s="27"/>
      <c r="H33" s="27"/>
      <c r="I33" s="27"/>
      <c r="J33" s="27"/>
      <c r="K33" s="27"/>
      <c r="L33" s="31"/>
      <c r="M33" s="27"/>
      <c r="N33" s="30"/>
      <c r="O33" s="27"/>
      <c r="P33" s="27"/>
      <c r="Q33" s="28"/>
      <c r="R33" s="28"/>
      <c r="S33" s="33"/>
    </row>
    <row r="34" spans="2:19">
      <c r="B34" s="32"/>
      <c r="C34" s="28"/>
      <c r="D34" s="28"/>
      <c r="E34" s="28"/>
      <c r="F34" s="28"/>
      <c r="G34" s="28"/>
      <c r="H34" s="28"/>
      <c r="I34" s="28"/>
      <c r="J34" s="28"/>
      <c r="K34" s="28"/>
      <c r="L34" s="33"/>
      <c r="M34" s="28"/>
      <c r="N34" s="32"/>
      <c r="O34" s="28"/>
      <c r="P34" s="28"/>
      <c r="Q34" s="28"/>
      <c r="R34" s="28"/>
      <c r="S34" s="33"/>
    </row>
    <row r="35" spans="2:19">
      <c r="B35" s="32"/>
      <c r="C35" s="28"/>
      <c r="D35" s="28"/>
      <c r="E35" s="28"/>
      <c r="F35" s="28"/>
      <c r="G35" s="28"/>
      <c r="H35" s="28"/>
      <c r="I35" s="28"/>
      <c r="J35" s="28"/>
      <c r="K35" s="28"/>
      <c r="L35" s="33"/>
      <c r="M35" s="28"/>
      <c r="N35" s="32"/>
      <c r="O35" s="28"/>
      <c r="P35" s="28"/>
      <c r="Q35" s="28"/>
      <c r="R35" s="28"/>
      <c r="S35" s="33"/>
    </row>
    <row r="36" spans="2:19">
      <c r="B36" s="30"/>
      <c r="C36" s="27"/>
      <c r="D36" s="27"/>
      <c r="E36" s="27"/>
      <c r="F36" s="27"/>
      <c r="G36" s="27"/>
      <c r="H36" s="27"/>
      <c r="I36" s="27"/>
      <c r="J36" s="27"/>
      <c r="K36" s="27"/>
      <c r="L36" s="31"/>
      <c r="M36" s="27"/>
      <c r="N36" s="30"/>
      <c r="O36" s="27"/>
      <c r="P36" s="27"/>
      <c r="Q36" s="28"/>
      <c r="R36" s="28"/>
      <c r="S36" s="33"/>
    </row>
    <row r="37" spans="2:19">
      <c r="B37" s="32"/>
      <c r="C37" s="28"/>
      <c r="D37" s="28"/>
      <c r="E37" s="28"/>
      <c r="F37" s="28"/>
      <c r="G37" s="28"/>
      <c r="H37" s="28"/>
      <c r="I37" s="28"/>
      <c r="J37" s="28"/>
      <c r="K37" s="28"/>
      <c r="L37" s="33"/>
      <c r="M37" s="28"/>
      <c r="N37" s="32"/>
      <c r="O37" s="28"/>
      <c r="P37" s="28"/>
      <c r="Q37" s="28"/>
      <c r="R37" s="28"/>
      <c r="S37" s="33"/>
    </row>
    <row r="38" spans="2:19">
      <c r="B38" s="32"/>
      <c r="C38" s="28"/>
      <c r="D38" s="28"/>
      <c r="E38" s="28"/>
      <c r="F38" s="28"/>
      <c r="G38" s="28"/>
      <c r="H38" s="28"/>
      <c r="I38" s="28"/>
      <c r="J38" s="28"/>
      <c r="K38" s="28"/>
      <c r="L38" s="33"/>
      <c r="M38" s="28"/>
      <c r="N38" s="32"/>
      <c r="O38" s="28"/>
      <c r="P38" s="28"/>
      <c r="Q38" s="28"/>
      <c r="R38" s="28"/>
      <c r="S38" s="33"/>
    </row>
    <row r="39" spans="2:19">
      <c r="B39" s="32"/>
      <c r="C39" s="28"/>
      <c r="D39" s="28"/>
      <c r="E39" s="28"/>
      <c r="F39" s="28"/>
      <c r="G39" s="28"/>
      <c r="H39" s="28"/>
      <c r="I39" s="28"/>
      <c r="J39" s="28"/>
      <c r="K39" s="28"/>
      <c r="L39" s="33"/>
      <c r="M39" s="28"/>
      <c r="N39" s="32"/>
      <c r="O39" s="28"/>
      <c r="P39" s="28"/>
      <c r="Q39" s="28"/>
      <c r="R39" s="28"/>
      <c r="S39" s="33"/>
    </row>
    <row r="40" spans="2:19">
      <c r="B40" s="32"/>
      <c r="C40" s="28"/>
      <c r="D40" s="28"/>
      <c r="E40" s="28"/>
      <c r="F40" s="28"/>
      <c r="G40" s="28"/>
      <c r="H40" s="28"/>
      <c r="I40" s="28"/>
      <c r="J40" s="28"/>
      <c r="K40" s="28"/>
      <c r="L40" s="33"/>
      <c r="M40" s="28"/>
      <c r="N40" s="32"/>
      <c r="O40" s="28"/>
      <c r="P40" s="28"/>
      <c r="Q40" s="28"/>
      <c r="R40" s="28"/>
      <c r="S40" s="33"/>
    </row>
    <row r="41" spans="2:19">
      <c r="B41" s="32"/>
      <c r="C41" s="28"/>
      <c r="D41" s="28"/>
      <c r="E41" s="28"/>
      <c r="F41" s="28"/>
      <c r="G41" s="28"/>
      <c r="H41" s="28"/>
      <c r="I41" s="28"/>
      <c r="J41" s="28"/>
      <c r="K41" s="28"/>
      <c r="L41" s="33"/>
      <c r="M41" s="28"/>
      <c r="N41" s="32"/>
      <c r="O41" s="28"/>
      <c r="P41" s="28"/>
      <c r="Q41" s="28"/>
      <c r="R41" s="28"/>
      <c r="S41" s="33"/>
    </row>
    <row r="42" spans="2:19">
      <c r="B42" s="32"/>
      <c r="C42" s="28"/>
      <c r="D42" s="28"/>
      <c r="E42" s="28"/>
      <c r="F42" s="28"/>
      <c r="G42" s="28"/>
      <c r="H42" s="28"/>
      <c r="I42" s="28"/>
      <c r="J42" s="28"/>
      <c r="K42" s="28"/>
      <c r="L42" s="33"/>
      <c r="M42" s="28"/>
      <c r="N42" s="32"/>
      <c r="O42" s="28"/>
      <c r="P42" s="28"/>
      <c r="Q42" s="28"/>
      <c r="R42" s="28"/>
      <c r="S42" s="33"/>
    </row>
    <row r="43" spans="2:19">
      <c r="B43" s="32"/>
      <c r="C43" s="28"/>
      <c r="D43" s="28"/>
      <c r="E43" s="28"/>
      <c r="F43" s="28"/>
      <c r="G43" s="28"/>
      <c r="H43" s="28"/>
      <c r="I43" s="28"/>
      <c r="J43" s="28"/>
      <c r="K43" s="28"/>
      <c r="L43" s="33"/>
      <c r="M43" s="28"/>
      <c r="N43" s="32"/>
      <c r="O43" s="28"/>
      <c r="P43" s="28"/>
      <c r="Q43" s="28"/>
      <c r="R43" s="28"/>
      <c r="S43" s="33"/>
    </row>
    <row r="44" spans="2:19">
      <c r="B44" s="32"/>
      <c r="C44" s="28"/>
      <c r="D44" s="28"/>
      <c r="E44" s="28"/>
      <c r="F44" s="28"/>
      <c r="G44" s="28"/>
      <c r="H44" s="28"/>
      <c r="I44" s="28"/>
      <c r="J44" s="28"/>
      <c r="K44" s="28"/>
      <c r="L44" s="33"/>
      <c r="M44" s="28"/>
      <c r="N44" s="32"/>
      <c r="O44" s="28"/>
      <c r="P44" s="28"/>
      <c r="Q44" s="28"/>
      <c r="R44" s="28"/>
      <c r="S44" s="33"/>
    </row>
    <row r="45" spans="2:19">
      <c r="B45" s="34"/>
      <c r="C45" s="35"/>
      <c r="D45" s="35"/>
      <c r="E45" s="35"/>
      <c r="F45" s="35"/>
      <c r="G45" s="35"/>
      <c r="H45" s="35"/>
      <c r="I45" s="35"/>
      <c r="J45" s="35"/>
      <c r="K45" s="35"/>
      <c r="L45" s="36"/>
      <c r="M45" s="28"/>
      <c r="N45" s="34"/>
      <c r="O45" s="35"/>
      <c r="P45" s="35"/>
      <c r="Q45" s="35"/>
      <c r="R45" s="35"/>
      <c r="S45" s="36"/>
    </row>
    <row r="46" spans="2:19">
      <c r="K46" s="28"/>
      <c r="L46" s="28"/>
      <c r="M46" s="28"/>
      <c r="N46" s="28"/>
      <c r="O46" s="28"/>
      <c r="P46" s="28"/>
    </row>
    <row r="47" spans="2:19">
      <c r="K47" s="28"/>
      <c r="L47" s="28"/>
      <c r="M47" s="28"/>
      <c r="N47" s="28"/>
      <c r="O47" s="28"/>
      <c r="P47" s="28"/>
    </row>
    <row r="48" spans="2:19">
      <c r="B48" s="43" t="s">
        <v>447</v>
      </c>
      <c r="C48" s="43"/>
    </row>
    <row r="49" spans="2:3">
      <c r="B49" s="43"/>
      <c r="C49" s="43"/>
    </row>
  </sheetData>
  <mergeCells count="17">
    <mergeCell ref="J8:K8"/>
    <mergeCell ref="I5:M5"/>
    <mergeCell ref="B48:C49"/>
    <mergeCell ref="B4:S4"/>
    <mergeCell ref="N30:S30"/>
    <mergeCell ref="M8:N8"/>
    <mergeCell ref="P8:Q8"/>
    <mergeCell ref="D9:E9"/>
    <mergeCell ref="G9:H9"/>
    <mergeCell ref="J9:K9"/>
    <mergeCell ref="M9:N9"/>
    <mergeCell ref="P9:Q9"/>
    <mergeCell ref="B12:I12"/>
    <mergeCell ref="B30:I30"/>
    <mergeCell ref="K12:S12"/>
    <mergeCell ref="D8:E8"/>
    <mergeCell ref="G8:H8"/>
  </mergeCell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Dashboard">
                <anchor moveWithCells="1" sizeWithCells="1">
                  <from>
                    <xdr:col>17</xdr:col>
                    <xdr:colOff>428625</xdr:colOff>
                    <xdr:row>4</xdr:row>
                    <xdr:rowOff>85725</xdr:rowOff>
                  </from>
                  <to>
                    <xdr:col>19</xdr:col>
                    <xdr:colOff>180975</xdr:colOff>
                    <xdr:row>6</xdr:row>
                    <xdr:rowOff>28575</xdr:rowOff>
                  </to>
                </anchor>
              </controlPr>
            </control>
          </mc:Choice>
        </mc:AlternateContent>
        <mc:AlternateContent xmlns:mc="http://schemas.openxmlformats.org/markup-compatibility/2006">
          <mc:Choice Requires="x14">
            <control shapeId="2050" r:id="rId5" name="Button 2">
              <controlPr defaultSize="0" print="0" autoFill="0" autoPict="0" macro="[0]!ClearDashboardFilters">
                <anchor moveWithCells="1" sizeWithCells="1">
                  <from>
                    <xdr:col>17</xdr:col>
                    <xdr:colOff>438150</xdr:colOff>
                    <xdr:row>7</xdr:row>
                    <xdr:rowOff>19050</xdr:rowOff>
                  </from>
                  <to>
                    <xdr:col>19</xdr:col>
                    <xdr:colOff>171450</xdr:colOff>
                    <xdr:row>8</xdr:row>
                    <xdr:rowOff>152400</xdr:rowOff>
                  </to>
                </anchor>
              </controlPr>
            </control>
          </mc:Choice>
        </mc:AlternateContent>
        <mc:AlternateContent xmlns:mc="http://schemas.openxmlformats.org/markup-compatibility/2006">
          <mc:Choice Requires="x14">
            <control shapeId="2052" r:id="rId6" name="Button 4">
              <controlPr defaultSize="0" print="0" autoFill="0" autoPict="0" macro="[0]!ResetAndRefresh">
                <anchor moveWithCells="1" sizeWithCells="1">
                  <from>
                    <xdr:col>17</xdr:col>
                    <xdr:colOff>428625</xdr:colOff>
                    <xdr:row>2</xdr:row>
                    <xdr:rowOff>161925</xdr:rowOff>
                  </from>
                  <to>
                    <xdr:col>19</xdr:col>
                    <xdr:colOff>200025</xdr:colOff>
                    <xdr:row>3</xdr:row>
                    <xdr:rowOff>285750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A1:C39"/>
  <sheetViews>
    <sheetView topLeftCell="A10" workbookViewId="0">
      <selection activeCell="C34" sqref="C34"/>
    </sheetView>
  </sheetViews>
  <sheetFormatPr baseColWidth="10" defaultColWidth="9" defaultRowHeight="14.25"/>
  <cols>
    <col min="1" max="1" width="33.875" customWidth="1"/>
    <col min="2" max="2" width="78" customWidth="1"/>
  </cols>
  <sheetData>
    <row r="1" spans="1:3" ht="16.7" customHeight="1">
      <c r="A1" s="54" t="s">
        <v>357</v>
      </c>
      <c r="B1" s="54"/>
    </row>
    <row r="2" spans="1:3" ht="15" customHeight="1">
      <c r="A2" s="1"/>
      <c r="B2" s="1"/>
    </row>
    <row r="3" spans="1:3" ht="58.5" customHeight="1">
      <c r="A3" s="8" t="s">
        <v>358</v>
      </c>
      <c r="B3" s="8"/>
    </row>
    <row r="4" spans="1:3" ht="15" customHeight="1">
      <c r="A4" s="1" t="s">
        <v>0</v>
      </c>
      <c r="B4" s="1" t="s">
        <v>359</v>
      </c>
      <c r="C4" t="s">
        <v>409</v>
      </c>
    </row>
    <row r="5" spans="1:3" ht="15" customHeight="1">
      <c r="A5" s="1" t="s">
        <v>2</v>
      </c>
      <c r="B5" s="1" t="s">
        <v>360</v>
      </c>
      <c r="C5" t="s">
        <v>409</v>
      </c>
    </row>
    <row r="6" spans="1:3" ht="15" customHeight="1">
      <c r="A6" s="1" t="s">
        <v>3</v>
      </c>
      <c r="B6" s="1" t="s">
        <v>361</v>
      </c>
      <c r="C6" t="s">
        <v>409</v>
      </c>
    </row>
    <row r="7" spans="1:3" ht="15" customHeight="1">
      <c r="A7" s="1" t="s">
        <v>4</v>
      </c>
      <c r="B7" s="1" t="s">
        <v>362</v>
      </c>
      <c r="C7" t="s">
        <v>409</v>
      </c>
    </row>
    <row r="8" spans="1:3" ht="15" customHeight="1">
      <c r="A8" s="1" t="s">
        <v>5</v>
      </c>
      <c r="B8" s="1" t="s">
        <v>363</v>
      </c>
      <c r="C8" t="s">
        <v>409</v>
      </c>
    </row>
    <row r="9" spans="1:3" ht="15" customHeight="1">
      <c r="A9" s="1" t="s">
        <v>6</v>
      </c>
      <c r="B9" s="1" t="s">
        <v>364</v>
      </c>
      <c r="C9" t="s">
        <v>409</v>
      </c>
    </row>
    <row r="10" spans="1:3" ht="15" customHeight="1">
      <c r="A10" s="1" t="s">
        <v>8</v>
      </c>
      <c r="B10" s="1" t="s">
        <v>365</v>
      </c>
      <c r="C10" t="s">
        <v>409</v>
      </c>
    </row>
    <row r="11" spans="1:3" ht="15" customHeight="1">
      <c r="A11" s="1" t="s">
        <v>10</v>
      </c>
      <c r="B11" s="1" t="s">
        <v>366</v>
      </c>
      <c r="C11" t="s">
        <v>409</v>
      </c>
    </row>
    <row r="12" spans="1:3" ht="15" customHeight="1">
      <c r="A12" s="1"/>
      <c r="B12" s="1"/>
    </row>
    <row r="13" spans="1:3" ht="26.45" customHeight="1">
      <c r="A13" s="8" t="s">
        <v>367</v>
      </c>
      <c r="B13" s="8"/>
    </row>
    <row r="14" spans="1:3" ht="15" customHeight="1">
      <c r="A14" s="1" t="s">
        <v>12</v>
      </c>
      <c r="B14" s="1" t="s">
        <v>368</v>
      </c>
      <c r="C14" t="s">
        <v>409</v>
      </c>
    </row>
    <row r="15" spans="1:3" ht="15" customHeight="1">
      <c r="A15" s="1" t="s">
        <v>13</v>
      </c>
      <c r="B15" s="1" t="s">
        <v>369</v>
      </c>
      <c r="C15" t="s">
        <v>409</v>
      </c>
    </row>
    <row r="16" spans="1:3" ht="15" customHeight="1">
      <c r="A16" s="1" t="s">
        <v>370</v>
      </c>
      <c r="B16" s="1" t="s">
        <v>371</v>
      </c>
      <c r="C16" t="s">
        <v>409</v>
      </c>
    </row>
    <row r="17" spans="1:3" ht="15" customHeight="1">
      <c r="A17" s="1" t="s">
        <v>372</v>
      </c>
      <c r="B17" s="1" t="s">
        <v>373</v>
      </c>
      <c r="C17" t="s">
        <v>409</v>
      </c>
    </row>
    <row r="18" spans="1:3" ht="15" customHeight="1">
      <c r="A18" s="1" t="s">
        <v>374</v>
      </c>
      <c r="B18" s="1" t="s">
        <v>375</v>
      </c>
      <c r="C18" t="s">
        <v>409</v>
      </c>
    </row>
    <row r="19" spans="1:3" ht="15" customHeight="1">
      <c r="A19" s="1"/>
      <c r="B19" s="1"/>
    </row>
    <row r="20" spans="1:3" ht="26.45" customHeight="1">
      <c r="A20" s="8" t="s">
        <v>376</v>
      </c>
      <c r="B20" s="8"/>
    </row>
    <row r="21" spans="1:3" ht="15" customHeight="1">
      <c r="A21" s="1" t="s">
        <v>377</v>
      </c>
      <c r="B21" s="1" t="s">
        <v>378</v>
      </c>
      <c r="C21" t="s">
        <v>409</v>
      </c>
    </row>
    <row r="22" spans="1:3" ht="15" customHeight="1">
      <c r="A22" s="1" t="s">
        <v>379</v>
      </c>
      <c r="B22" s="1" t="s">
        <v>380</v>
      </c>
      <c r="C22" t="s">
        <v>409</v>
      </c>
    </row>
    <row r="23" spans="1:3" ht="15" customHeight="1">
      <c r="A23" s="1" t="s">
        <v>381</v>
      </c>
      <c r="B23" s="1" t="s">
        <v>382</v>
      </c>
      <c r="C23" t="s">
        <v>409</v>
      </c>
    </row>
    <row r="24" spans="1:3" ht="15" customHeight="1">
      <c r="A24" s="1" t="s">
        <v>383</v>
      </c>
      <c r="B24" s="1" t="s">
        <v>384</v>
      </c>
      <c r="C24" t="s">
        <v>409</v>
      </c>
    </row>
    <row r="25" spans="1:3" ht="15" customHeight="1">
      <c r="A25" s="1" t="s">
        <v>385</v>
      </c>
      <c r="B25" s="1" t="s">
        <v>386</v>
      </c>
      <c r="C25" t="s">
        <v>409</v>
      </c>
    </row>
    <row r="26" spans="1:3" ht="15" customHeight="1">
      <c r="A26" s="1" t="s">
        <v>387</v>
      </c>
      <c r="B26" s="1" t="s">
        <v>388</v>
      </c>
      <c r="C26" t="s">
        <v>409</v>
      </c>
    </row>
    <row r="27" spans="1:3" ht="15" customHeight="1">
      <c r="A27" s="1" t="s">
        <v>389</v>
      </c>
      <c r="B27" s="1" t="s">
        <v>390</v>
      </c>
      <c r="C27" t="s">
        <v>409</v>
      </c>
    </row>
    <row r="28" spans="1:3" ht="15" customHeight="1">
      <c r="A28" s="1"/>
      <c r="B28" s="1"/>
    </row>
    <row r="29" spans="1:3" ht="39.6" customHeight="1">
      <c r="A29" s="8" t="s">
        <v>391</v>
      </c>
      <c r="B29" s="8"/>
    </row>
    <row r="30" spans="1:3" ht="15" customHeight="1">
      <c r="A30" s="1" t="s">
        <v>392</v>
      </c>
      <c r="B30" s="1" t="s">
        <v>393</v>
      </c>
      <c r="C30" t="s">
        <v>409</v>
      </c>
    </row>
    <row r="31" spans="1:3" ht="15" customHeight="1">
      <c r="A31" s="1" t="s">
        <v>394</v>
      </c>
      <c r="B31" s="1" t="s">
        <v>395</v>
      </c>
      <c r="C31" t="s">
        <v>409</v>
      </c>
    </row>
    <row r="32" spans="1:3" ht="15" customHeight="1">
      <c r="A32" s="1" t="s">
        <v>396</v>
      </c>
      <c r="B32" s="1" t="s">
        <v>397</v>
      </c>
      <c r="C32" t="s">
        <v>409</v>
      </c>
    </row>
    <row r="33" spans="1:3" ht="15" customHeight="1">
      <c r="A33" s="1" t="s">
        <v>398</v>
      </c>
      <c r="B33" s="1" t="s">
        <v>399</v>
      </c>
      <c r="C33" t="s">
        <v>409</v>
      </c>
    </row>
    <row r="34" spans="1:3" ht="15" customHeight="1">
      <c r="A34" s="1"/>
      <c r="B34" s="1"/>
    </row>
    <row r="35" spans="1:3" ht="26.45" customHeight="1">
      <c r="A35" s="8" t="s">
        <v>400</v>
      </c>
      <c r="B35" s="8"/>
    </row>
    <row r="36" spans="1:3" ht="15" customHeight="1">
      <c r="A36" s="1" t="s">
        <v>401</v>
      </c>
      <c r="B36" s="1" t="s">
        <v>402</v>
      </c>
    </row>
    <row r="37" spans="1:3" ht="15" customHeight="1">
      <c r="A37" s="1" t="s">
        <v>403</v>
      </c>
      <c r="B37" s="1" t="s">
        <v>404</v>
      </c>
    </row>
    <row r="38" spans="1:3" ht="15" customHeight="1">
      <c r="A38" s="1" t="s">
        <v>405</v>
      </c>
      <c r="B38" s="1" t="s">
        <v>406</v>
      </c>
    </row>
    <row r="39" spans="1:3" ht="15" customHeight="1">
      <c r="A39" s="1" t="s">
        <v>407</v>
      </c>
      <c r="B39" s="1" t="s">
        <v>408</v>
      </c>
    </row>
  </sheetData>
  <mergeCells count="1">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6"/>
  <dimension ref="A1:C26"/>
  <sheetViews>
    <sheetView workbookViewId="0"/>
  </sheetViews>
  <sheetFormatPr baseColWidth="10" defaultColWidth="9" defaultRowHeight="14.25"/>
  <cols>
    <col min="1" max="1" width="24" customWidth="1"/>
    <col min="2" max="2" width="48" customWidth="1"/>
    <col min="3" max="3" width="34" customWidth="1"/>
  </cols>
  <sheetData>
    <row r="1" spans="1:3" ht="15" customHeight="1">
      <c r="A1" s="7" t="s">
        <v>309</v>
      </c>
      <c r="B1" s="7" t="s">
        <v>310</v>
      </c>
      <c r="C1" s="7" t="s">
        <v>311</v>
      </c>
    </row>
    <row r="2" spans="1:3" ht="15" customHeight="1">
      <c r="A2" s="1" t="s">
        <v>14</v>
      </c>
      <c r="B2" s="1" t="s">
        <v>312</v>
      </c>
      <c r="C2" s="1" t="s">
        <v>313</v>
      </c>
    </row>
    <row r="3" spans="1:3" ht="15" customHeight="1">
      <c r="A3" s="1" t="s">
        <v>15</v>
      </c>
      <c r="B3" s="1" t="s">
        <v>314</v>
      </c>
      <c r="C3" s="1" t="s">
        <v>315</v>
      </c>
    </row>
    <row r="4" spans="1:3" ht="15" customHeight="1">
      <c r="A4" s="1" t="s">
        <v>16</v>
      </c>
      <c r="B4" s="1" t="s">
        <v>316</v>
      </c>
      <c r="C4" s="1" t="s">
        <v>317</v>
      </c>
    </row>
    <row r="5" spans="1:3" ht="15" customHeight="1">
      <c r="A5" s="1" t="s">
        <v>17</v>
      </c>
      <c r="B5" s="1" t="s">
        <v>318</v>
      </c>
      <c r="C5" s="1" t="s">
        <v>319</v>
      </c>
    </row>
    <row r="6" spans="1:3" ht="15" customHeight="1">
      <c r="A6" s="1" t="s">
        <v>18</v>
      </c>
      <c r="B6" s="1" t="s">
        <v>320</v>
      </c>
      <c r="C6" s="1" t="s">
        <v>321</v>
      </c>
    </row>
    <row r="7" spans="1:3" ht="15" customHeight="1">
      <c r="A7" s="1" t="s">
        <v>19</v>
      </c>
      <c r="B7" s="1" t="s">
        <v>322</v>
      </c>
      <c r="C7" s="1" t="s">
        <v>323</v>
      </c>
    </row>
    <row r="8" spans="1:3" ht="15" customHeight="1">
      <c r="A8" s="1" t="s">
        <v>20</v>
      </c>
      <c r="B8" s="1" t="s">
        <v>324</v>
      </c>
      <c r="C8" s="1" t="s">
        <v>325</v>
      </c>
    </row>
    <row r="9" spans="1:3" ht="15" customHeight="1">
      <c r="A9" s="1" t="s">
        <v>21</v>
      </c>
      <c r="B9" s="1" t="s">
        <v>326</v>
      </c>
      <c r="C9" s="1" t="s">
        <v>327</v>
      </c>
    </row>
    <row r="10" spans="1:3" ht="15" customHeight="1">
      <c r="A10" s="1" t="s">
        <v>22</v>
      </c>
      <c r="B10" s="1" t="s">
        <v>328</v>
      </c>
      <c r="C10" s="1" t="s">
        <v>329</v>
      </c>
    </row>
    <row r="11" spans="1:3" ht="15" customHeight="1">
      <c r="A11" s="1" t="s">
        <v>23</v>
      </c>
      <c r="B11" s="1" t="s">
        <v>330</v>
      </c>
      <c r="C11" s="1" t="s">
        <v>331</v>
      </c>
    </row>
    <row r="12" spans="1:3" ht="15" customHeight="1">
      <c r="A12" s="1" t="s">
        <v>24</v>
      </c>
      <c r="B12" s="1" t="s">
        <v>332</v>
      </c>
      <c r="C12" s="1" t="s">
        <v>333</v>
      </c>
    </row>
    <row r="13" spans="1:3" ht="15" customHeight="1">
      <c r="A13" s="1" t="s">
        <v>25</v>
      </c>
      <c r="B13" s="1" t="s">
        <v>334</v>
      </c>
      <c r="C13" s="1" t="s">
        <v>335</v>
      </c>
    </row>
    <row r="14" spans="1:3" ht="15" customHeight="1">
      <c r="A14" s="1" t="s">
        <v>26</v>
      </c>
      <c r="B14" s="1" t="s">
        <v>336</v>
      </c>
      <c r="C14" s="1" t="s">
        <v>337</v>
      </c>
    </row>
    <row r="15" spans="1:3" ht="15" customHeight="1">
      <c r="A15" s="1" t="s">
        <v>27</v>
      </c>
      <c r="B15" s="1" t="s">
        <v>338</v>
      </c>
      <c r="C15" s="1" t="s">
        <v>337</v>
      </c>
    </row>
    <row r="16" spans="1:3" ht="15" customHeight="1">
      <c r="A16" s="1" t="s">
        <v>28</v>
      </c>
      <c r="B16" s="1" t="s">
        <v>339</v>
      </c>
      <c r="C16" s="1" t="s">
        <v>340</v>
      </c>
    </row>
    <row r="17" spans="1:3" ht="15" customHeight="1">
      <c r="A17" s="1" t="s">
        <v>29</v>
      </c>
      <c r="B17" s="1" t="s">
        <v>341</v>
      </c>
      <c r="C17" s="1" t="s">
        <v>340</v>
      </c>
    </row>
    <row r="18" spans="1:3" ht="15" customHeight="1">
      <c r="A18" s="1" t="s">
        <v>30</v>
      </c>
      <c r="B18" s="1" t="s">
        <v>342</v>
      </c>
      <c r="C18" s="1" t="s">
        <v>340</v>
      </c>
    </row>
    <row r="19" spans="1:3" ht="15" customHeight="1">
      <c r="A19" s="1" t="s">
        <v>31</v>
      </c>
      <c r="B19" s="1" t="s">
        <v>343</v>
      </c>
      <c r="C19" s="1" t="s">
        <v>340</v>
      </c>
    </row>
    <row r="20" spans="1:3" ht="15" customHeight="1">
      <c r="A20" s="1" t="s">
        <v>32</v>
      </c>
      <c r="B20" s="1" t="s">
        <v>344</v>
      </c>
      <c r="C20" s="1" t="s">
        <v>340</v>
      </c>
    </row>
    <row r="21" spans="1:3" ht="15" customHeight="1">
      <c r="A21" s="1" t="s">
        <v>33</v>
      </c>
      <c r="B21" s="1" t="s">
        <v>345</v>
      </c>
      <c r="C21" s="1" t="s">
        <v>346</v>
      </c>
    </row>
    <row r="22" spans="1:3" ht="15" customHeight="1">
      <c r="A22" s="1" t="s">
        <v>34</v>
      </c>
      <c r="B22" s="1" t="s">
        <v>347</v>
      </c>
      <c r="C22" s="1" t="s">
        <v>348</v>
      </c>
    </row>
    <row r="23" spans="1:3" ht="15" customHeight="1">
      <c r="A23" s="1" t="s">
        <v>35</v>
      </c>
      <c r="B23" s="1" t="s">
        <v>349</v>
      </c>
      <c r="C23" s="1" t="s">
        <v>350</v>
      </c>
    </row>
    <row r="24" spans="1:3" ht="15" customHeight="1">
      <c r="A24" s="1" t="s">
        <v>36</v>
      </c>
      <c r="B24" s="1" t="s">
        <v>351</v>
      </c>
      <c r="C24" s="1" t="s">
        <v>352</v>
      </c>
    </row>
    <row r="25" spans="1:3" ht="15" customHeight="1">
      <c r="A25" s="1" t="s">
        <v>37</v>
      </c>
      <c r="B25" s="1" t="s">
        <v>353</v>
      </c>
      <c r="C25" s="1" t="s">
        <v>354</v>
      </c>
    </row>
    <row r="26" spans="1:3" ht="15" customHeight="1">
      <c r="A26" s="1" t="s">
        <v>38</v>
      </c>
      <c r="B26" s="1" t="s">
        <v>355</v>
      </c>
      <c r="C26" s="1" t="s">
        <v>356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Project Overview</vt:lpstr>
      <vt:lpstr>Travel_Expense_Data</vt:lpstr>
      <vt:lpstr>Pivot_Analysis</vt:lpstr>
      <vt:lpstr>Dashboard</vt:lpstr>
      <vt:lpstr>ok</vt:lpstr>
      <vt:lpstr>Data_Dictionary</vt:lpstr>
      <vt:lpstr>NovaTechSpends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Giovanna Fuentes</dc:creator>
  <cp:lastModifiedBy>Giovanna Fuentes Salas</cp:lastModifiedBy>
  <dcterms:created xsi:type="dcterms:W3CDTF">2026-10-13T17:42:22Z</dcterms:created>
  <dcterms:modified xsi:type="dcterms:W3CDTF">2026-10-13T20:05:09Z</dcterms:modified>
</cp:coreProperties>
</file>